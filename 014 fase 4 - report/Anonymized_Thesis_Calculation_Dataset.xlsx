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7e7890428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7ed8971633446c"/>
    <x:sheet xmlns:r="http://schemas.openxmlformats.org/officeDocument/2006/relationships" name="Data_Sources" sheetId="2" r:id="R084d28e14d9241a1"/>
    <x:sheet xmlns:r="http://schemas.openxmlformats.org/officeDocument/2006/relationships" name="Job_History" sheetId="3" r:id="R86b2544ba9864bdb"/>
    <x:sheet xmlns:r="http://schemas.openxmlformats.org/officeDocument/2006/relationships" name="PO_Cleaned_Events" sheetId="4" r:id="R502b53abc87b4cdf"/>
    <x:sheet xmlns:r="http://schemas.openxmlformats.org/officeDocument/2006/relationships" name="PO_Summary" sheetId="5" r:id="R544ac3e26a8346f5"/>
    <x:sheet xmlns:r="http://schemas.openxmlformats.org/officeDocument/2006/relationships" name="SpareParts_Calc" sheetId="6" r:id="R567c00a0c11042cc"/>
    <x:sheet xmlns:r="http://schemas.openxmlformats.org/officeDocument/2006/relationships" name="SpareParts_Summary" sheetId="7" r:id="R03a63f7aed3d4220"/>
    <x:sheet xmlns:r="http://schemas.openxmlformats.org/officeDocument/2006/relationships" name="Defects_Summary" sheetId="8" r:id="R4203145645b24481"/>
    <x:sheet xmlns:r="http://schemas.openxmlformats.org/officeDocument/2006/relationships" name="MonteCarlo_Summary" sheetId="9" r:id="Ref0a5d3f52a84479"/>
    <x:sheet xmlns:r="http://schemas.openxmlformats.org/officeDocument/2006/relationships" name="Sensitivity_Checks" sheetId="10" r:id="Rd73dfe06cae243b9"/>
    <x:sheet xmlns:r="http://schemas.openxmlformats.org/officeDocument/2006/relationships" name="Thesis_Output_Checks" sheetId="11" r:id="Ra3bf01923d2f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.00"/>
    <x:numFmt numFmtId="202" formatCode="$#,##0.00"/>
    <x:numFmt numFmtId="203" formatCode="0.0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2d0778a7d438f" /><Relationship Type="http://schemas.openxmlformats.org/officeDocument/2006/relationships/theme" Target="/xl/theme/theme1.xml" Id="R91b189d97b124f73" /><Relationship Type="http://schemas.openxmlformats.org/officeDocument/2006/relationships/sharedStrings" Target="/xl/sharedStrings.xml" Id="R01d06d4fb7ac4fb7" /><Relationship Type="http://schemas.openxmlformats.org/officeDocument/2006/relationships/worksheet" Target="/xl/worksheets/sheet1.xml" Id="Re17ed8971633446c" /><Relationship Type="http://schemas.openxmlformats.org/officeDocument/2006/relationships/worksheet" Target="/xl/worksheets/sheet2.xml" Id="R084d28e14d9241a1" /><Relationship Type="http://schemas.openxmlformats.org/officeDocument/2006/relationships/worksheet" Target="/xl/worksheets/sheet3.xml" Id="R86b2544ba9864bdb" /><Relationship Type="http://schemas.openxmlformats.org/officeDocument/2006/relationships/worksheet" Target="/xl/worksheets/sheet4.xml" Id="R502b53abc87b4cdf" /><Relationship Type="http://schemas.openxmlformats.org/officeDocument/2006/relationships/worksheet" Target="/xl/worksheets/sheet5.xml" Id="R544ac3e26a8346f5" /><Relationship Type="http://schemas.openxmlformats.org/officeDocument/2006/relationships/worksheet" Target="/xl/worksheets/sheet6.xml" Id="R567c00a0c11042cc" /><Relationship Type="http://schemas.openxmlformats.org/officeDocument/2006/relationships/worksheet" Target="/xl/worksheets/sheet7.xml" Id="R03a63f7aed3d4220" /><Relationship Type="http://schemas.openxmlformats.org/officeDocument/2006/relationships/worksheet" Target="/xl/worksheets/sheet8.xml" Id="R4203145645b24481" /><Relationship Type="http://schemas.openxmlformats.org/officeDocument/2006/relationships/worksheet" Target="/xl/worksheets/sheet9.xml" Id="Ref0a5d3f52a84479" /><Relationship Type="http://schemas.openxmlformats.org/officeDocument/2006/relationships/worksheet" Target="/xl/worksheets/sheet10.xml" Id="Rd73dfe06cae243b9" /><Relationship Type="http://schemas.openxmlformats.org/officeDocument/2006/relationships/worksheet" Target="/xl/worksheets/sheet11.xml" Id="Ra3bf01923d2f4a59" /></Relationships>
</file>

<file path=xl/tables/table1.xml><?xml version="1.0" encoding="utf-8"?>
<x:table xmlns:x="http://schemas.openxmlformats.org/spreadsheetml/2006/main" id="1" name="ReadmeTable" displayName="ReadmeTable" ref="A3:B11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DataSourcesTable" displayName="DataSourcesTable" ref="A1:H9" headerRowCount="1">
  <x:tableColumns count="8">
    <x:tableColumn id="1" name="Dataset_ID"/>
    <x:tableColumn id="2" name="Anonymized_Case"/>
    <x:tableColumn id="3" name="Strategy"/>
    <x:tableColumn id="4" name="Dataset_Type"/>
    <x:tableColumn id="5" name="Period"/>
    <x:tableColumn id="6" name="Raw_Record_Count"/>
    <x:tableColumn id="7" name="SHA256_Source_File_Hash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JobHistoryTable" displayName="JobHistoryTable" ref="A3:D18" headerRowCount="1">
  <x:tableColumns count="4">
    <x:tableColumn id="1" name="Metric"/>
    <x:tableColumn id="2" name="Passenger Vessel, LTSA"/>
    <x:tableColumn id="3" name="Heavy Lift Vessel, non-LTSA"/>
    <x:tableColumn id="4" name="Formula / Comment"/>
  </x:tableColumns>
  <x:tableStyleInfo name="TableStyleMedium2" showRowStripes="1"/>
</x:table>
</file>

<file path=xl/tables/table4.xml><?xml version="1.0" encoding="utf-8"?>
<x:table xmlns:x="http://schemas.openxmlformats.org/spreadsheetml/2006/main" id="4" name="POCleanedEventsTable" displayName="POCleanedEventsTable" ref="A1:E186" headerRowCount="1">
  <x:tableColumns count="5">
    <x:tableColumn id="1" name="Case"/>
    <x:tableColumn id="2" name="Event_ID"/>
    <x:tableColumn id="3" name="Exposure_Category"/>
    <x:tableColumn id="4" name="Value_USD"/>
    <x:tableColumn id="5" name="Included_In_Model"/>
  </x:tableColumns>
  <x:tableStyleInfo name="TableStyleMedium2" showRowStripes="1"/>
</x:table>
</file>

<file path=xl/tables/table5.xml><?xml version="1.0" encoding="utf-8"?>
<x:table xmlns:x="http://schemas.openxmlformats.org/spreadsheetml/2006/main" id="5" name="POSummaryTable" displayName="POSummaryTable" ref="A3:D19" headerRowCount="1">
  <x:tableColumns count="4">
    <x:tableColumn id="1" name="Indicator"/>
    <x:tableColumn id="2" name="Passenger Vessel, LTSA"/>
    <x:tableColumn id="3" name="Heavy Lift Vessel, non-LTSA"/>
    <x:tableColumn id="4" name="Formula / Comment"/>
  </x:tableColumns>
  <x:tableStyleInfo name="TableStyleMedium2" showRowStripes="1"/>
</x:table>
</file>

<file path=xl/tables/table6.xml><?xml version="1.0" encoding="utf-8"?>
<x:table xmlns:x="http://schemas.openxmlformats.org/spreadsheetml/2006/main" id="6" name="SparePartsCalcTable" displayName="SparePartsCalcTable" ref="A1:F226" headerRowCount="1">
  <x:tableColumns count="6">
    <x:tableColumn id="1" name="Case"/>
    <x:tableColumn id="2" name="Part_ID"/>
    <x:tableColumn id="3" name="Stock_Quantity"/>
    <x:tableColumn id="4" name="Average_Price_USD"/>
    <x:tableColumn id="5" name="Stock_Value_USD"/>
    <x:tableColumn id="6" name="Stock_Above_Zero"/>
  </x:tableColumns>
  <x:tableStyleInfo name="TableStyleMedium2" showRowStripes="1"/>
</x:table>
</file>

<file path=xl/tables/table7.xml><?xml version="1.0" encoding="utf-8"?>
<x:table xmlns:x="http://schemas.openxmlformats.org/spreadsheetml/2006/main" id="7" name="SparePartsSummaryTable" displayName="SparePartsSummaryTable" ref="A3:D10" headerRowCount="1">
  <x:tableColumns count="4">
    <x:tableColumn id="1" name="Indicator"/>
    <x:tableColumn id="2" name="Passenger Vessel, LTSA"/>
    <x:tableColumn id="3" name="Heavy Lift Vessel, non-LTSA"/>
    <x:tableColumn id="4" name="Formula / Comment"/>
  </x:tableColumns>
  <x:tableStyleInfo name="TableStyleMedium2" showRowStripes="1"/>
</x:table>
</file>

<file path=xl/tables/table8.xml><?xml version="1.0" encoding="utf-8"?>
<x:table xmlns:x="http://schemas.openxmlformats.org/spreadsheetml/2006/main" id="8" name="DefectsSummaryTable" displayName="DefectsSummaryTable" ref="A3:C16" headerRowCount="1">
  <x:tableColumns count="3">
    <x:tableColumn id="1" name="Defect indicator"/>
    <x:tableColumn id="2" name="Heavy Lift Vessel, non-LTSA"/>
    <x:tableColumn id="3" name="Comment"/>
  </x:tableColumns>
  <x:tableStyleInfo name="TableStyleMedium2" showRowStripes="1"/>
</x:table>
</file>

<file path=xl/tables/table9.xml><?xml version="1.0" encoding="utf-8"?>
<x:table xmlns:x="http://schemas.openxmlformats.org/spreadsheetml/2006/main" id="9" name="SensitivityTable" displayName="SensitivityTable" ref="A3:D7" headerRowCount="1">
  <x:tableColumns count="4">
    <x:tableColumn id="1" name="Sensitivity test"/>
    <x:tableColumn id="2" name="Formula result"/>
    <x:tableColumn id="3" name="Rounded thesis result"/>
    <x:tableColumn id="4" name="Interpretation"/>
  </x:tableColumns>
  <x:tableStyleInfo name="TableStyleMedium2" showRowStripes="1"/>
</x:table>
</file>

<file path=xl/tables/table10.xml><?xml version="1.0" encoding="utf-8"?>
<x:table xmlns:x="http://schemas.openxmlformats.org/spreadsheetml/2006/main" id="10" name="ThesisChecksTable" displayName="ThesisChecksTable" ref="A3:F20" headerRowCount="1">
  <x:tableColumns count="6">
    <x:tableColumn id="1" name="Metric"/>
    <x:tableColumn id="2" name="Reported_Thesis_Value"/>
    <x:tableColumn id="3" name="Workbook_Recalculated_Value"/>
    <x:tableColumn id="4" name="Difference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fedf06bf6643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8845028ba54a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2dbd1e3d4e4a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0d771fa4e742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884356b3f24a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e0a2470ab647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64779ff6de4f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278cf065fb47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e0302e500946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19bdf89fb77475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0" t="str">
        <x:v>Anonymized Thesis Calculation Dataset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Item</x:v>
      </x:c>
      <x:c r="B3" s="15" t="str">
        <x:v>Description</x:v>
      </x:c>
    </x:row>
    <x:row r="4">
      <x:c r="A4" t="str">
        <x:v>Purpose</x:v>
      </x:c>
      <x:c r="B4" t="str">
        <x:v>This workbook is an anonymized calculation dataset for the LTSA versus non-LTSA thesis. It contains only the numerical variables needed to reproduce the thesis tables and checks.</x:v>
      </x:c>
    </x:row>
    <x:row r="5">
      <x:c r="A5" t="str">
        <x:v>Confidentiality</x:v>
      </x:c>
      <x:c r="B5" t="str">
        <x:v>Raw BASSnet exports, real vessel names, engine identifiers, purchase-order numbers, supplier names, item descriptions, account codes, and commercially specific agreement names are not reproduced.</x:v>
      </x:c>
    </x:row>
    <x:row r="6">
      <x:c r="A6" t="str">
        <x:v>Anonymized cases</x:v>
      </x:c>
      <x:c r="B6" t="str">
        <x:v>Passenger Vessel, LTSA; Heavy Lift Vessel, non-LTSA.</x:v>
      </x:c>
    </x:row>
    <x:row r="7">
      <x:c r="A7" t="str">
        <x:v>Purchase-order rule</x:v>
      </x:c>
      <x:c r="B7" t="str">
        <x:v>Ordinary purchase orders use the latest non-cancelled version. Recurring agreement exposure and long-lead agreement exposure are retained separately as model inputs.</x:v>
      </x:c>
    </x:row>
    <x:row r="8">
      <x:c r="A8" t="str">
        <x:v>Spare-parts rule</x:v>
      </x:c>
      <x:c r="B8" t="str">
        <x:v>Spare-parts stock value is calculated as Stock Quantity × Average Price. Spare-parts records are not interpreted as consumption records.</x:v>
      </x:c>
    </x:row>
    <x:row r="9">
      <x:c r="A9" t="str">
        <x:v>Downtime rule</x:v>
      </x:c>
      <x:c r="B9" t="str">
        <x:v>Downtime is treated only as an availability proxy because the selected job-history records contain zero positive recorded downtime hours.</x:v>
      </x:c>
    </x:row>
    <x:row r="10">
      <x:c r="A10" t="str">
        <x:v>Monte Carlo</x:v>
      </x:c>
      <x:c r="B10" t="str">
        <x:v>The workbook stores the reported Monte Carlo outputs from the thesis and the model inputs needed to reproduce them with the anonymized Appendix E code.</x:v>
      </x:c>
    </x:row>
    <x:row r="11">
      <x:c r="A11" t="str">
        <x:v>Created by</x:v>
      </x:c>
      <x:c r="B11" t="str">
        <x:v>Generated from the uploaded CSVs using Python 3.13.5 and NumPy 2.3.5.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cfedf06bf6643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70" hidden="0" customWidth="1"/>
    <x:col min="8" max="8" width="55" hidden="0" customWidth="1"/>
  </x:cols>
  <x:sheetData>
    <x:row r="1">
      <x:c r="A1" s="34" t="str">
        <x:v>Dataset_ID</x:v>
      </x:c>
      <x:c r="B1" s="34" t="str">
        <x:v>Anonymized_Case</x:v>
      </x:c>
      <x:c r="C1" s="34" t="str">
        <x:v>Strategy</x:v>
      </x:c>
      <x:c r="D1" s="34" t="str">
        <x:v>Dataset_Type</x:v>
      </x:c>
      <x:c r="E1" s="34" t="str">
        <x:v>Period</x:v>
      </x:c>
      <x:c r="F1" s="34" t="str">
        <x:v>Raw_Record_Count</x:v>
      </x:c>
      <x:c r="G1" s="34" t="str">
        <x:v>SHA256_Source_File_Hash</x:v>
      </x:c>
      <x:c r="H1" s="34" t="str">
        <x:v>Notes</x:v>
      </x:c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DS01</x:v>
      </x:c>
      <x:c r="B2" t="str">
        <x:v>Passenger Vessel</x:v>
      </x:c>
      <x:c r="C2" t="str">
        <x:v>LTSA</x:v>
      </x:c>
      <x:c r="D2" t="str">
        <x:v>Job history</x:v>
      </x:c>
      <x:c r="E2" t="str">
        <x:v>2024</x:v>
      </x:c>
      <x:c r="F2" t="n">
        <x:v>1454</x:v>
      </x:c>
      <x:c r="G2" t="str">
        <x:v>066cb6f50af766fd6106f26a782db348b710862fc273896e16291242886e7c20</x:v>
      </x:c>
      <x:c r="H2" t="str">
        <x:v>Hash is provided for verification if the confidential source file is available separately.</x:v>
      </x:c>
    </x:row>
    <x:row r="3">
      <x:c r="A3" t="str">
        <x:v>DS02</x:v>
      </x:c>
      <x:c r="B3" t="str">
        <x:v>Passenger Vessel</x:v>
      </x:c>
      <x:c r="C3" t="str">
        <x:v>LTSA</x:v>
      </x:c>
      <x:c r="D3" t="str">
        <x:v>Job history</x:v>
      </x:c>
      <x:c r="E3" t="str">
        <x:v>2025</x:v>
      </x:c>
      <x:c r="F3" t="n">
        <x:v>1237</x:v>
      </x:c>
      <x:c r="G3" t="str">
        <x:v>efb72301dae30b1ed039d1e364e0091a159f86c10789dc9ddbb9996aa835052b</x:v>
      </x:c>
      <x:c r="H3" t="str">
        <x:v>Hash is provided for verification if the confidential source file is available separately.</x:v>
      </x:c>
    </x:row>
    <x:row r="4">
      <x:c r="A4" t="str">
        <x:v>DS03</x:v>
      </x:c>
      <x:c r="B4" t="str">
        <x:v>Passenger Vessel</x:v>
      </x:c>
      <x:c r="C4" t="str">
        <x:v>LTSA</x:v>
      </x:c>
      <x:c r="D4" t="str">
        <x:v>Purchase orders</x:v>
      </x:c>
      <x:c r="E4" t="str">
        <x:v>2024-2025</x:v>
      </x:c>
      <x:c r="F4" t="n">
        <x:v>134</x:v>
      </x:c>
      <x:c r="G4" t="str">
        <x:v>cdc389895514b6f80868dfe9d9f34b767d0ba93657cbe75f8cdd76cbcb23e512</x:v>
      </x:c>
      <x:c r="H4" t="str">
        <x:v>Hash is provided for verification if the confidential source file is available separately.</x:v>
      </x:c>
    </x:row>
    <x:row r="5">
      <x:c r="A5" t="str">
        <x:v>DS04</x:v>
      </x:c>
      <x:c r="B5" t="str">
        <x:v>Passenger Vessel</x:v>
      </x:c>
      <x:c r="C5" t="str">
        <x:v>LTSA</x:v>
      </x:c>
      <x:c r="D5" t="str">
        <x:v>Spare parts</x:v>
      </x:c>
      <x:c r="E5" t="str">
        <x:v>2024-2025</x:v>
      </x:c>
      <x:c r="F5" t="n">
        <x:v>104</x:v>
      </x:c>
      <x:c r="G5" t="str">
        <x:v>7ee3e636f430dd18c208c9775f6a58360a44c4c906bd6d61be46a79fd05f5dcb</x:v>
      </x:c>
      <x:c r="H5" t="str">
        <x:v>Hash is provided for verification if the confidential source file is available separately.</x:v>
      </x:c>
    </x:row>
    <x:row r="6">
      <x:c r="A6" t="str">
        <x:v>DS05</x:v>
      </x:c>
      <x:c r="B6" t="str">
        <x:v>Heavy Lift Vessel</x:v>
      </x:c>
      <x:c r="C6" t="str">
        <x:v>Non-LTSA</x:v>
      </x:c>
      <x:c r="D6" t="str">
        <x:v>Job history</x:v>
      </x:c>
      <x:c r="E6" t="str">
        <x:v>2024-2025</x:v>
      </x:c>
      <x:c r="F6" t="n">
        <x:v>1062</x:v>
      </x:c>
      <x:c r="G6" t="str">
        <x:v>de3b5a015b7a680f47fbf2a5fd5ada6545e026565d4be37f3512a951155718ad</x:v>
      </x:c>
      <x:c r="H6" t="str">
        <x:v>Hash is provided for verification if the confidential source file is available separately.</x:v>
      </x:c>
    </x:row>
    <x:row r="7">
      <x:c r="A7" t="str">
        <x:v>DS06</x:v>
      </x:c>
      <x:c r="B7" t="str">
        <x:v>Heavy Lift Vessel</x:v>
      </x:c>
      <x:c r="C7" t="str">
        <x:v>Non-LTSA</x:v>
      </x:c>
      <x:c r="D7" t="str">
        <x:v>Purchase orders</x:v>
      </x:c>
      <x:c r="E7" t="str">
        <x:v>2024-2025</x:v>
      </x:c>
      <x:c r="F7" t="n">
        <x:v>83</x:v>
      </x:c>
      <x:c r="G7" t="str">
        <x:v>989e27f44ce41b1a1b63f79dfdc1ff6a16e1bc7e1cbfb68f7dd143221229ad29</x:v>
      </x:c>
      <x:c r="H7" t="str">
        <x:v>Hash is provided for verification if the confidential source file is available separately.</x:v>
      </x:c>
    </x:row>
    <x:row r="8">
      <x:c r="A8" t="str">
        <x:v>DS07</x:v>
      </x:c>
      <x:c r="B8" t="str">
        <x:v>Heavy Lift Vessel</x:v>
      </x:c>
      <x:c r="C8" t="str">
        <x:v>Non-LTSA</x:v>
      </x:c>
      <x:c r="D8" t="str">
        <x:v>Spare parts</x:v>
      </x:c>
      <x:c r="E8" t="str">
        <x:v>2024-2025</x:v>
      </x:c>
      <x:c r="F8" t="n">
        <x:v>121</x:v>
      </x:c>
      <x:c r="G8" t="str">
        <x:v>1ed53480e64ebdea0d840b3f3dc0659e425e94501067fb87fa61a57320d44778</x:v>
      </x:c>
      <x:c r="H8" t="str">
        <x:v>Hash is provided for verification if the confidential source file is available separately.</x:v>
      </x:c>
    </x:row>
    <x:row r="9">
      <x:c r="A9" t="str">
        <x:v>DS08</x:v>
      </x:c>
      <x:c r="B9" t="str">
        <x:v>Heavy Lift Vessel</x:v>
      </x:c>
      <x:c r="C9" t="str">
        <x:v>Non-LTSA</x:v>
      </x:c>
      <x:c r="D9" t="str">
        <x:v>Defects</x:v>
      </x:c>
      <x:c r="E9" t="str">
        <x:v>2024-2025</x:v>
      </x:c>
      <x:c r="F9" t="n">
        <x:v>99</x:v>
      </x:c>
      <x:c r="G9" t="str">
        <x:v>2241bbbebb816c2d628819044b030922dd0bea661f416c896663675e9d65668d</x:v>
      </x:c>
      <x:c r="H9" t="str">
        <x:v>Hash is provided for verification if the confidential source file is available separately.</x:v>
      </x:c>
    </x:row>
  </x:sheetData>
  <x:pageMargins left="0.7" right="0.7" top="0.75" bottom="0.75" header="0.3" footer="0.3"/>
  <x:tableParts count="1">
    <x:tablePart xmlns:r="http://schemas.openxmlformats.org/officeDocument/2006/relationships" r:id="Rd48845028ba54a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4" hidden="0" customWidth="1"/>
    <x:col min="4" max="4" width="70" hidden="0" customWidth="1"/>
  </x:cols>
  <x:sheetData>
    <x:row r="1">
      <x:c r="A1" s="30" t="str">
        <x:v>Job-History Summary and Availability Proxy</x:v>
      </x:c>
      <x:c r="B1" s="30"/>
      <x:c r="C1" s="30"/>
      <x:c r="D1" s="30"/>
      <x:c r="E1" s="30"/>
      <x:c r="F1" s="30"/>
      <x:c r="G1" s="30"/>
      <x:c r="H1" s="30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Metric</x:v>
      </x:c>
      <x:c r="B3" s="15" t="str">
        <x:v>Passenger Vessel, LTSA</x:v>
      </x:c>
      <x:c r="C3" s="15" t="str">
        <x:v>Heavy Lift Vessel, non-LTSA</x:v>
      </x:c>
      <x:c r="D3" s="15" t="str">
        <x:v>Formula / Comment</x:v>
      </x:c>
    </x:row>
    <x:row r="4">
      <x:c r="A4" t="str">
        <x:v>Job-history records</x:v>
      </x:c>
      <x:c r="B4" s="22" t="n">
        <x:v>2691</x:v>
      </x:c>
      <x:c r="C4" s="22" t="n">
        <x:v>1062</x:v>
      </x:c>
      <x:c r="D4" t="str">
        <x:v>Count of uploaded job-history records</x:v>
      </x:c>
    </x:row>
    <x:row r="5">
      <x:c r="A5" t="str">
        <x:v>Corrective job records, based on Job Class</x:v>
      </x:c>
      <x:c r="B5" s="22" t="n">
        <x:v>59</x:v>
      </x:c>
      <x:c r="C5" s="22" t="n">
        <x:v>1</x:v>
      </x:c>
      <x:c r="D5" t="str">
        <x:v>Job Class = Corrective Maintenance</x:v>
      </x:c>
    </x:row>
    <x:row r="6">
      <x:c r="A6" t="str">
        <x:v>Corrective job records, Corrective flag = Yes</x:v>
      </x:c>
      <x:c r="B6" s="22" t="n">
        <x:v>73</x:v>
      </x:c>
      <x:c r="C6" s="22" t="n">
        <x:v>1</x:v>
      </x:c>
      <x:c r="D6" t="str">
        <x:v>Audit only; thesis uses Job Class</x:v>
      </x:c>
    </x:row>
    <x:row r="7">
      <x:c r="A7" t="str">
        <x:v>Corrective job share</x:v>
      </x:c>
      <x:c r="B7" s="22" t="n">
        <x:f>B5/B4</x:f>
        <x:v>0.021924934968413228</x:v>
      </x:c>
      <x:c r="C7" s="22" t="n">
        <x:f>C5/C4</x:f>
        <x:v>0.0009416195856873823</x:v>
      </x:c>
      <x:c r="D7" t="str">
        <x:v>= Corrective job records / Job-history records</x:v>
      </x:c>
    </x:row>
    <x:row r="8">
      <x:c r="A8" t="str">
        <x:v>Overdue job records</x:v>
      </x:c>
      <x:c r="B8" s="22" t="n">
        <x:v>658</x:v>
      </x:c>
      <x:c r="C8" s="22" t="n">
        <x:v>105</x:v>
      </x:c>
      <x:c r="D8" t="str">
        <x:v>Overdue = Yes</x:v>
      </x:c>
    </x:row>
    <x:row r="9">
      <x:c r="A9" t="str">
        <x:v>Overdue job share</x:v>
      </x:c>
      <x:c r="B9" s="22" t="n">
        <x:f>B8/B4</x:f>
        <x:v>0.2445187662578967</x:v>
      </x:c>
      <x:c r="C9" s="22" t="n">
        <x:f>C8/C4</x:f>
        <x:v>0.09887005649717515</x:v>
      </x:c>
      <x:c r="D9" t="str">
        <x:v>= Overdue job records / Job-history records</x:v>
      </x:c>
    </x:row>
    <x:row r="10">
      <x:c r="A10" t="str">
        <x:v>Positive recorded downtime hours</x:v>
      </x:c>
      <x:c r="B10" s="22" t="n">
        <x:v>0</x:v>
      </x:c>
      <x:c r="C10" s="22" t="n">
        <x:v>0</x:v>
      </x:c>
      <x:c r="D10" t="str">
        <x:v>Down Time(Hrs) field summed from job-history data</x:v>
      </x:c>
    </x:row>
    <x:row r="11">
      <x:c r="A11" t="str">
        <x:v>Operating horizon, hours</x:v>
      </x:c>
      <x:c r="B11" s="22" t="n">
        <x:v>17544</x:v>
      </x:c>
      <x:c r="C11" s="22" t="n">
        <x:v>17544</x:v>
      </x:c>
      <x:c r="D11" t="str">
        <x:v>731 days × 24 hours</x:v>
      </x:c>
    </x:row>
    <x:row r="12">
      <x:c r="A12" t="str">
        <x:v>Availability proxy</x:v>
      </x:c>
      <x:c r="B12" s="22" t="n">
        <x:f>(B11-B10)/B11</x:f>
        <x:v>1</x:v>
      </x:c>
      <x:c r="C12" s="22" t="n">
        <x:f>(C11-C10)/C11</x:f>
        <x:v>1</x:v>
      </x:c>
      <x:c r="D12" t="str">
        <x:v>= (Operating horizon - recorded downtime) / Operating horizon</x:v>
      </x:c>
    </x:row>
    <x:row r="13">
      <x:c r="A13" t="str">
        <x:v>Total duration hours, audit only</x:v>
      </x:c>
      <x:c r="B13" s="22" t="n">
        <x:v>4</x:v>
      </x:c>
      <x:c r="C13" s="22" t="n">
        <x:v>2.5</x:v>
      </x:c>
      <x:c r="D13" t="str">
        <x:v>Not used as operational downtime</x:v>
      </x:c>
    </x:row>
    <x:row r="14">
      <x:c r="A14" t="str">
        <x:v>Done Since year 2024</x:v>
      </x:c>
      <x:c r="B14" s="22" t="n">
        <x:v>1453</x:v>
      </x:c>
      <x:c r="C14" s="22" t="n">
        <x:v>539</x:v>
      </x:c>
      <x:c r="D14" t="str">
        <x:v>Audit: year parsed from Done Since</x:v>
      </x:c>
    </x:row>
    <x:row r="15">
      <x:c r="A15" t="str">
        <x:v>Done Since year 2025</x:v>
      </x:c>
      <x:c r="B15" s="22" t="n">
        <x:v>1236</x:v>
      </x:c>
      <x:c r="C15" s="22" t="n">
        <x:v>523</x:v>
      </x:c>
      <x:c r="D15" t="str">
        <x:v>Audit: year parsed from Done Since</x:v>
      </x:c>
    </x:row>
    <x:row r="16">
      <x:c r="A16" t="str">
        <x:v>Missing Done Since</x:v>
      </x:c>
      <x:c r="B16" s="22" t="n">
        <x:v>2</x:v>
      </x:c>
      <x:c r="C16" s="22" t="n">
        <x:v>0</x:v>
      </x:c>
      <x:c r="D16" t="str">
        <x:v>Explains why file split and Done Since year split differ for Passenger Vessel</x:v>
      </x:c>
    </x:row>
    <x:row r="17">
      <x:c r="A17" t="str">
        <x:v>Source file row count 2024</x:v>
      </x:c>
      <x:c r="B17" s="22" t="n">
        <x:v>1454</x:v>
      </x:c>
      <x:c r="C17" s="22" t="str">
        <x:v>Not applicable</x:v>
      </x:c>
      <x:c r="D17" t="str">
        <x:v>Passenger Vessel 2024 source file count</x:v>
      </x:c>
    </x:row>
    <x:row r="18">
      <x:c r="A18" t="str">
        <x:v>Source file row count 2025</x:v>
      </x:c>
      <x:c r="B18" s="22" t="n">
        <x:v>1237</x:v>
      </x:c>
      <x:c r="C18" s="22" t="str">
        <x:v>Not applicable</x:v>
      </x:c>
      <x:c r="D18" t="str">
        <x:v>Passenger Vessel 2025 source file count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02dbd1e3d4e4a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16" hidden="0" customWidth="1"/>
    <x:col min="5" max="5" width="18" hidden="0" customWidth="1"/>
  </x:cols>
  <x:sheetData>
    <x:row r="1">
      <x:c r="A1" s="34" t="str">
        <x:v>Case</x:v>
      </x:c>
      <x:c r="B1" s="34" t="str">
        <x:v>Event_ID</x:v>
      </x:c>
      <x:c r="C1" s="34" t="str">
        <x:v>Exposure_Category</x:v>
      </x:c>
      <x:c r="D1" s="34" t="str">
        <x:v>Value_USD</x:v>
      </x:c>
      <x:c r="E1" s="34" t="str">
        <x:v>Included_In_Model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Passenger Vessel, LTSA</x:v>
      </x:c>
      <x:c r="B2" t="str">
        <x:v>PV_PO_001</x:v>
      </x:c>
      <x:c r="C2" t="str">
        <x:v>Ordinary latest non-cancelled PO</x:v>
      </x:c>
      <x:c r="D2" s="24" t="n">
        <x:v>86.21</x:v>
      </x:c>
      <x:c r="E2" t="str">
        <x:v>Yes</x:v>
      </x:c>
    </x:row>
    <x:row r="3">
      <x:c r="A3" t="str">
        <x:v>Passenger Vessel, LTSA</x:v>
      </x:c>
      <x:c r="B3" t="str">
        <x:v>PV_PO_002</x:v>
      </x:c>
      <x:c r="C3" t="str">
        <x:v>Ordinary latest non-cancelled PO</x:v>
      </x:c>
      <x:c r="D3" s="24" t="n">
        <x:v>611.59</x:v>
      </x:c>
      <x:c r="E3" t="str">
        <x:v>Yes</x:v>
      </x:c>
    </x:row>
    <x:row r="4">
      <x:c r="A4" t="str">
        <x:v>Passenger Vessel, LTSA</x:v>
      </x:c>
      <x:c r="B4" t="str">
        <x:v>PV_PO_003</x:v>
      </x:c>
      <x:c r="C4" t="str">
        <x:v>Ordinary latest non-cancelled PO</x:v>
      </x:c>
      <x:c r="D4" s="24" t="n">
        <x:v>963.06</x:v>
      </x:c>
      <x:c r="E4" t="str">
        <x:v>Yes</x:v>
      </x:c>
    </x:row>
    <x:row r="5">
      <x:c r="A5" t="str">
        <x:v>Passenger Vessel, LTSA</x:v>
      </x:c>
      <x:c r="B5" t="str">
        <x:v>PV_PO_004</x:v>
      </x:c>
      <x:c r="C5" t="str">
        <x:v>Ordinary latest non-cancelled PO</x:v>
      </x:c>
      <x:c r="D5" s="24" t="n">
        <x:v>1091.52</x:v>
      </x:c>
      <x:c r="E5" t="str">
        <x:v>Yes</x:v>
      </x:c>
    </x:row>
    <x:row r="6">
      <x:c r="A6" t="str">
        <x:v>Passenger Vessel, LTSA</x:v>
      </x:c>
      <x:c r="B6" t="str">
        <x:v>PV_PO_005</x:v>
      </x:c>
      <x:c r="C6" t="str">
        <x:v>Ordinary latest non-cancelled PO</x:v>
      </x:c>
      <x:c r="D6" s="24" t="n">
        <x:v>1467.26</x:v>
      </x:c>
      <x:c r="E6" t="str">
        <x:v>Yes</x:v>
      </x:c>
    </x:row>
    <x:row r="7">
      <x:c r="A7" t="str">
        <x:v>Passenger Vessel, LTSA</x:v>
      </x:c>
      <x:c r="B7" t="str">
        <x:v>PV_PO_006</x:v>
      </x:c>
      <x:c r="C7" t="str">
        <x:v>Ordinary latest non-cancelled PO</x:v>
      </x:c>
      <x:c r="D7" s="24" t="n">
        <x:v>1628.82</x:v>
      </x:c>
      <x:c r="E7" t="str">
        <x:v>Yes</x:v>
      </x:c>
    </x:row>
    <x:row r="8">
      <x:c r="A8" t="str">
        <x:v>Passenger Vessel, LTSA</x:v>
      </x:c>
      <x:c r="B8" t="str">
        <x:v>PV_PO_007</x:v>
      </x:c>
      <x:c r="C8" t="str">
        <x:v>Ordinary latest non-cancelled PO</x:v>
      </x:c>
      <x:c r="D8" s="24" t="n">
        <x:v>2206.08</x:v>
      </x:c>
      <x:c r="E8" t="str">
        <x:v>Yes</x:v>
      </x:c>
    </x:row>
    <x:row r="9">
      <x:c r="A9" t="str">
        <x:v>Passenger Vessel, LTSA</x:v>
      </x:c>
      <x:c r="B9" t="str">
        <x:v>PV_PO_008</x:v>
      </x:c>
      <x:c r="C9" t="str">
        <x:v>Ordinary latest non-cancelled PO</x:v>
      </x:c>
      <x:c r="D9" s="24" t="n">
        <x:v>2390.81</x:v>
      </x:c>
      <x:c r="E9" t="str">
        <x:v>Yes</x:v>
      </x:c>
    </x:row>
    <x:row r="10">
      <x:c r="A10" t="str">
        <x:v>Passenger Vessel, LTSA</x:v>
      </x:c>
      <x:c r="B10" t="str">
        <x:v>PV_PO_009</x:v>
      </x:c>
      <x:c r="C10" t="str">
        <x:v>Ordinary latest non-cancelled PO</x:v>
      </x:c>
      <x:c r="D10" s="24" t="n">
        <x:v>3046.86</x:v>
      </x:c>
      <x:c r="E10" t="str">
        <x:v>Yes</x:v>
      </x:c>
    </x:row>
    <x:row r="11">
      <x:c r="A11" t="str">
        <x:v>Passenger Vessel, LTSA</x:v>
      </x:c>
      <x:c r="B11" t="str">
        <x:v>PV_PO_010</x:v>
      </x:c>
      <x:c r="C11" t="str">
        <x:v>Ordinary latest non-cancelled PO</x:v>
      </x:c>
      <x:c r="D11" s="24" t="n">
        <x:v>3160.07</x:v>
      </x:c>
      <x:c r="E11" t="str">
        <x:v>Yes</x:v>
      </x:c>
    </x:row>
    <x:row r="12">
      <x:c r="A12" t="str">
        <x:v>Passenger Vessel, LTSA</x:v>
      </x:c>
      <x:c r="B12" t="str">
        <x:v>PV_PO_011</x:v>
      </x:c>
      <x:c r="C12" t="str">
        <x:v>Ordinary latest non-cancelled PO</x:v>
      </x:c>
      <x:c r="D12" s="24" t="n">
        <x:v>3861</x:v>
      </x:c>
      <x:c r="E12" t="str">
        <x:v>Yes</x:v>
      </x:c>
    </x:row>
    <x:row r="13">
      <x:c r="A13" t="str">
        <x:v>Passenger Vessel, LTSA</x:v>
      </x:c>
      <x:c r="B13" t="str">
        <x:v>PV_PO_012</x:v>
      </x:c>
      <x:c r="C13" t="str">
        <x:v>Ordinary latest non-cancelled PO</x:v>
      </x:c>
      <x:c r="D13" s="24" t="n">
        <x:v>4019.02</x:v>
      </x:c>
      <x:c r="E13" t="str">
        <x:v>Yes</x:v>
      </x:c>
    </x:row>
    <x:row r="14">
      <x:c r="A14" t="str">
        <x:v>Passenger Vessel, LTSA</x:v>
      </x:c>
      <x:c r="B14" t="str">
        <x:v>PV_PO_013</x:v>
      </x:c>
      <x:c r="C14" t="str">
        <x:v>Ordinary latest non-cancelled PO</x:v>
      </x:c>
      <x:c r="D14" s="24" t="n">
        <x:v>4019.48</x:v>
      </x:c>
      <x:c r="E14" t="str">
        <x:v>Yes</x:v>
      </x:c>
    </x:row>
    <x:row r="15">
      <x:c r="A15" t="str">
        <x:v>Passenger Vessel, LTSA</x:v>
      </x:c>
      <x:c r="B15" t="str">
        <x:v>PV_PO_014</x:v>
      </x:c>
      <x:c r="C15" t="str">
        <x:v>Ordinary latest non-cancelled PO</x:v>
      </x:c>
      <x:c r="D15" s="24" t="n">
        <x:v>4107.61</x:v>
      </x:c>
      <x:c r="E15" t="str">
        <x:v>Yes</x:v>
      </x:c>
    </x:row>
    <x:row r="16">
      <x:c r="A16" t="str">
        <x:v>Passenger Vessel, LTSA</x:v>
      </x:c>
      <x:c r="B16" t="str">
        <x:v>PV_PO_015</x:v>
      </x:c>
      <x:c r="C16" t="str">
        <x:v>Ordinary latest non-cancelled PO</x:v>
      </x:c>
      <x:c r="D16" s="24" t="n">
        <x:v>4729.44</x:v>
      </x:c>
      <x:c r="E16" t="str">
        <x:v>Yes</x:v>
      </x:c>
    </x:row>
    <x:row r="17">
      <x:c r="A17" t="str">
        <x:v>Passenger Vessel, LTSA</x:v>
      </x:c>
      <x:c r="B17" t="str">
        <x:v>PV_PO_016</x:v>
      </x:c>
      <x:c r="C17" t="str">
        <x:v>Ordinary latest non-cancelled PO</x:v>
      </x:c>
      <x:c r="D17" s="24" t="n">
        <x:v>4958.12</x:v>
      </x:c>
      <x:c r="E17" t="str">
        <x:v>Yes</x:v>
      </x:c>
    </x:row>
    <x:row r="18">
      <x:c r="A18" t="str">
        <x:v>Passenger Vessel, LTSA</x:v>
      </x:c>
      <x:c r="B18" t="str">
        <x:v>PV_PO_017</x:v>
      </x:c>
      <x:c r="C18" t="str">
        <x:v>Ordinary latest non-cancelled PO</x:v>
      </x:c>
      <x:c r="D18" s="24" t="n">
        <x:v>6138.02</x:v>
      </x:c>
      <x:c r="E18" t="str">
        <x:v>Yes</x:v>
      </x:c>
    </x:row>
    <x:row r="19">
      <x:c r="A19" t="str">
        <x:v>Passenger Vessel, LTSA</x:v>
      </x:c>
      <x:c r="B19" t="str">
        <x:v>PV_PO_018</x:v>
      </x:c>
      <x:c r="C19" t="str">
        <x:v>Ordinary latest non-cancelled PO</x:v>
      </x:c>
      <x:c r="D19" s="24" t="n">
        <x:v>6149.41</x:v>
      </x:c>
      <x:c r="E19" t="str">
        <x:v>Yes</x:v>
      </x:c>
    </x:row>
    <x:row r="20">
      <x:c r="A20" t="str">
        <x:v>Passenger Vessel, LTSA</x:v>
      </x:c>
      <x:c r="B20" t="str">
        <x:v>PV_PO_019</x:v>
      </x:c>
      <x:c r="C20" t="str">
        <x:v>Ordinary latest non-cancelled PO</x:v>
      </x:c>
      <x:c r="D20" s="24" t="n">
        <x:v>6317.25</x:v>
      </x:c>
      <x:c r="E20" t="str">
        <x:v>Yes</x:v>
      </x:c>
    </x:row>
    <x:row r="21">
      <x:c r="A21" t="str">
        <x:v>Passenger Vessel, LTSA</x:v>
      </x:c>
      <x:c r="B21" t="str">
        <x:v>PV_PO_020</x:v>
      </x:c>
      <x:c r="C21" t="str">
        <x:v>Ordinary latest non-cancelled PO</x:v>
      </x:c>
      <x:c r="D21" s="24" t="n">
        <x:v>6371.49</x:v>
      </x:c>
      <x:c r="E21" t="str">
        <x:v>Yes</x:v>
      </x:c>
    </x:row>
    <x:row r="22">
      <x:c r="A22" t="str">
        <x:v>Passenger Vessel, LTSA</x:v>
      </x:c>
      <x:c r="B22" t="str">
        <x:v>PV_PO_021</x:v>
      </x:c>
      <x:c r="C22" t="str">
        <x:v>Ordinary latest non-cancelled PO</x:v>
      </x:c>
      <x:c r="D22" s="24" t="n">
        <x:v>6603.68</x:v>
      </x:c>
      <x:c r="E22" t="str">
        <x:v>Yes</x:v>
      </x:c>
    </x:row>
    <x:row r="23">
      <x:c r="A23" t="str">
        <x:v>Passenger Vessel, LTSA</x:v>
      </x:c>
      <x:c r="B23" t="str">
        <x:v>PV_PO_022</x:v>
      </x:c>
      <x:c r="C23" t="str">
        <x:v>Ordinary latest non-cancelled PO</x:v>
      </x:c>
      <x:c r="D23" s="24" t="n">
        <x:v>6782.13</x:v>
      </x:c>
      <x:c r="E23" t="str">
        <x:v>Yes</x:v>
      </x:c>
    </x:row>
    <x:row r="24">
      <x:c r="A24" t="str">
        <x:v>Passenger Vessel, LTSA</x:v>
      </x:c>
      <x:c r="B24" t="str">
        <x:v>PV_PO_023</x:v>
      </x:c>
      <x:c r="C24" t="str">
        <x:v>Ordinary latest non-cancelled PO</x:v>
      </x:c>
      <x:c r="D24" s="24" t="n">
        <x:v>7007.36</x:v>
      </x:c>
      <x:c r="E24" t="str">
        <x:v>Yes</x:v>
      </x:c>
    </x:row>
    <x:row r="25">
      <x:c r="A25" t="str">
        <x:v>Passenger Vessel, LTSA</x:v>
      </x:c>
      <x:c r="B25" t="str">
        <x:v>PV_PO_024</x:v>
      </x:c>
      <x:c r="C25" t="str">
        <x:v>Ordinary latest non-cancelled PO</x:v>
      </x:c>
      <x:c r="D25" s="24" t="n">
        <x:v>7059.69</x:v>
      </x:c>
      <x:c r="E25" t="str">
        <x:v>Yes</x:v>
      </x:c>
    </x:row>
    <x:row r="26">
      <x:c r="A26" t="str">
        <x:v>Passenger Vessel, LTSA</x:v>
      </x:c>
      <x:c r="B26" t="str">
        <x:v>PV_PO_025</x:v>
      </x:c>
      <x:c r="C26" t="str">
        <x:v>Ordinary latest non-cancelled PO</x:v>
      </x:c>
      <x:c r="D26" s="24" t="n">
        <x:v>7788.48</x:v>
      </x:c>
      <x:c r="E26" t="str">
        <x:v>Yes</x:v>
      </x:c>
    </x:row>
    <x:row r="27">
      <x:c r="A27" t="str">
        <x:v>Passenger Vessel, LTSA</x:v>
      </x:c>
      <x:c r="B27" t="str">
        <x:v>PV_PO_026</x:v>
      </x:c>
      <x:c r="C27" t="str">
        <x:v>Ordinary latest non-cancelled PO</x:v>
      </x:c>
      <x:c r="D27" s="24" t="n">
        <x:v>8040.88</x:v>
      </x:c>
      <x:c r="E27" t="str">
        <x:v>Yes</x:v>
      </x:c>
    </x:row>
    <x:row r="28">
      <x:c r="A28" t="str">
        <x:v>Passenger Vessel, LTSA</x:v>
      </x:c>
      <x:c r="B28" t="str">
        <x:v>PV_PO_027</x:v>
      </x:c>
      <x:c r="C28" t="str">
        <x:v>Ordinary latest non-cancelled PO</x:v>
      </x:c>
      <x:c r="D28" s="24" t="n">
        <x:v>8367.11</x:v>
      </x:c>
      <x:c r="E28" t="str">
        <x:v>Yes</x:v>
      </x:c>
    </x:row>
    <x:row r="29">
      <x:c r="A29" t="str">
        <x:v>Passenger Vessel, LTSA</x:v>
      </x:c>
      <x:c r="B29" t="str">
        <x:v>PV_PO_028</x:v>
      </x:c>
      <x:c r="C29" t="str">
        <x:v>Ordinary latest non-cancelled PO</x:v>
      </x:c>
      <x:c r="D29" s="24" t="n">
        <x:v>8427.51</x:v>
      </x:c>
      <x:c r="E29" t="str">
        <x:v>Yes</x:v>
      </x:c>
    </x:row>
    <x:row r="30">
      <x:c r="A30" t="str">
        <x:v>Passenger Vessel, LTSA</x:v>
      </x:c>
      <x:c r="B30" t="str">
        <x:v>PV_PO_029</x:v>
      </x:c>
      <x:c r="C30" t="str">
        <x:v>Ordinary latest non-cancelled PO</x:v>
      </x:c>
      <x:c r="D30" s="24" t="n">
        <x:v>8707.81</x:v>
      </x:c>
      <x:c r="E30" t="str">
        <x:v>Yes</x:v>
      </x:c>
    </x:row>
    <x:row r="31">
      <x:c r="A31" t="str">
        <x:v>Passenger Vessel, LTSA</x:v>
      </x:c>
      <x:c r="B31" t="str">
        <x:v>PV_PO_030</x:v>
      </x:c>
      <x:c r="C31" t="str">
        <x:v>Ordinary latest non-cancelled PO</x:v>
      </x:c>
      <x:c r="D31" s="24" t="n">
        <x:v>8797.07</x:v>
      </x:c>
      <x:c r="E31" t="str">
        <x:v>Yes</x:v>
      </x:c>
    </x:row>
    <x:row r="32">
      <x:c r="A32" t="str">
        <x:v>Passenger Vessel, LTSA</x:v>
      </x:c>
      <x:c r="B32" t="str">
        <x:v>PV_PO_031</x:v>
      </x:c>
      <x:c r="C32" t="str">
        <x:v>Ordinary latest non-cancelled PO</x:v>
      </x:c>
      <x:c r="D32" s="24" t="n">
        <x:v>9210.62</x:v>
      </x:c>
      <x:c r="E32" t="str">
        <x:v>Yes</x:v>
      </x:c>
    </x:row>
    <x:row r="33">
      <x:c r="A33" t="str">
        <x:v>Passenger Vessel, LTSA</x:v>
      </x:c>
      <x:c r="B33" t="str">
        <x:v>PV_PO_032</x:v>
      </x:c>
      <x:c r="C33" t="str">
        <x:v>Ordinary latest non-cancelled PO</x:v>
      </x:c>
      <x:c r="D33" s="24" t="n">
        <x:v>9619.02</x:v>
      </x:c>
      <x:c r="E33" t="str">
        <x:v>Yes</x:v>
      </x:c>
    </x:row>
    <x:row r="34">
      <x:c r="A34" t="str">
        <x:v>Passenger Vessel, LTSA</x:v>
      </x:c>
      <x:c r="B34" t="str">
        <x:v>PV_PO_033</x:v>
      </x:c>
      <x:c r="C34" t="str">
        <x:v>Ordinary latest non-cancelled PO</x:v>
      </x:c>
      <x:c r="D34" s="24" t="n">
        <x:v>9663.91</x:v>
      </x:c>
      <x:c r="E34" t="str">
        <x:v>Yes</x:v>
      </x:c>
    </x:row>
    <x:row r="35">
      <x:c r="A35" t="str">
        <x:v>Passenger Vessel, LTSA</x:v>
      </x:c>
      <x:c r="B35" t="str">
        <x:v>PV_PO_034</x:v>
      </x:c>
      <x:c r="C35" t="str">
        <x:v>Ordinary latest non-cancelled PO</x:v>
      </x:c>
      <x:c r="D35" s="24" t="n">
        <x:v>10365.62</x:v>
      </x:c>
      <x:c r="E35" t="str">
        <x:v>Yes</x:v>
      </x:c>
    </x:row>
    <x:row r="36">
      <x:c r="A36" t="str">
        <x:v>Passenger Vessel, LTSA</x:v>
      </x:c>
      <x:c r="B36" t="str">
        <x:v>PV_PO_035</x:v>
      </x:c>
      <x:c r="C36" t="str">
        <x:v>Ordinary latest non-cancelled PO</x:v>
      </x:c>
      <x:c r="D36" s="24" t="n">
        <x:v>11006.9</x:v>
      </x:c>
      <x:c r="E36" t="str">
        <x:v>Yes</x:v>
      </x:c>
    </x:row>
    <x:row r="37">
      <x:c r="A37" t="str">
        <x:v>Passenger Vessel, LTSA</x:v>
      </x:c>
      <x:c r="B37" t="str">
        <x:v>PV_PO_036</x:v>
      </x:c>
      <x:c r="C37" t="str">
        <x:v>Ordinary latest non-cancelled PO</x:v>
      </x:c>
      <x:c r="D37" s="24" t="n">
        <x:v>12280.36</x:v>
      </x:c>
      <x:c r="E37" t="str">
        <x:v>Yes</x:v>
      </x:c>
    </x:row>
    <x:row r="38">
      <x:c r="A38" t="str">
        <x:v>Passenger Vessel, LTSA</x:v>
      </x:c>
      <x:c r="B38" t="str">
        <x:v>PV_PO_037</x:v>
      </x:c>
      <x:c r="C38" t="str">
        <x:v>Ordinary latest non-cancelled PO</x:v>
      </x:c>
      <x:c r="D38" s="24" t="n">
        <x:v>12659.56</x:v>
      </x:c>
      <x:c r="E38" t="str">
        <x:v>Yes</x:v>
      </x:c>
    </x:row>
    <x:row r="39">
      <x:c r="A39" t="str">
        <x:v>Passenger Vessel, LTSA</x:v>
      </x:c>
      <x:c r="B39" t="str">
        <x:v>PV_PO_038</x:v>
      </x:c>
      <x:c r="C39" t="str">
        <x:v>Ordinary latest non-cancelled PO</x:v>
      </x:c>
      <x:c r="D39" s="24" t="n">
        <x:v>15291.12</x:v>
      </x:c>
      <x:c r="E39" t="str">
        <x:v>Yes</x:v>
      </x:c>
    </x:row>
    <x:row r="40">
      <x:c r="A40" t="str">
        <x:v>Passenger Vessel, LTSA</x:v>
      </x:c>
      <x:c r="B40" t="str">
        <x:v>PV_PO_039</x:v>
      </x:c>
      <x:c r="C40" t="str">
        <x:v>Ordinary latest non-cancelled PO</x:v>
      </x:c>
      <x:c r="D40" s="24" t="n">
        <x:v>15401.17</x:v>
      </x:c>
      <x:c r="E40" t="str">
        <x:v>Yes</x:v>
      </x:c>
    </x:row>
    <x:row r="41">
      <x:c r="A41" t="str">
        <x:v>Passenger Vessel, LTSA</x:v>
      </x:c>
      <x:c r="B41" t="str">
        <x:v>PV_PO_040</x:v>
      </x:c>
      <x:c r="C41" t="str">
        <x:v>Ordinary latest non-cancelled PO</x:v>
      </x:c>
      <x:c r="D41" s="24" t="n">
        <x:v>16294.5</x:v>
      </x:c>
      <x:c r="E41" t="str">
        <x:v>Yes</x:v>
      </x:c>
    </x:row>
    <x:row r="42">
      <x:c r="A42" t="str">
        <x:v>Passenger Vessel, LTSA</x:v>
      </x:c>
      <x:c r="B42" t="str">
        <x:v>PV_PO_041</x:v>
      </x:c>
      <x:c r="C42" t="str">
        <x:v>Ordinary latest non-cancelled PO</x:v>
      </x:c>
      <x:c r="D42" s="24" t="n">
        <x:v>17404.89</x:v>
      </x:c>
      <x:c r="E42" t="str">
        <x:v>Yes</x:v>
      </x:c>
    </x:row>
    <x:row r="43">
      <x:c r="A43" t="str">
        <x:v>Passenger Vessel, LTSA</x:v>
      </x:c>
      <x:c r="B43" t="str">
        <x:v>PV_PO_042</x:v>
      </x:c>
      <x:c r="C43" t="str">
        <x:v>Ordinary latest non-cancelled PO</x:v>
      </x:c>
      <x:c r="D43" s="24" t="n">
        <x:v>18622.35</x:v>
      </x:c>
      <x:c r="E43" t="str">
        <x:v>Yes</x:v>
      </x:c>
    </x:row>
    <x:row r="44">
      <x:c r="A44" t="str">
        <x:v>Passenger Vessel, LTSA</x:v>
      </x:c>
      <x:c r="B44" t="str">
        <x:v>PV_PO_043</x:v>
      </x:c>
      <x:c r="C44" t="str">
        <x:v>Ordinary latest non-cancelled PO</x:v>
      </x:c>
      <x:c r="D44" s="24" t="n">
        <x:v>19018.45</x:v>
      </x:c>
      <x:c r="E44" t="str">
        <x:v>Yes</x:v>
      </x:c>
    </x:row>
    <x:row r="45">
      <x:c r="A45" t="str">
        <x:v>Passenger Vessel, LTSA</x:v>
      </x:c>
      <x:c r="B45" t="str">
        <x:v>PV_PO_044</x:v>
      </x:c>
      <x:c r="C45" t="str">
        <x:v>Ordinary latest non-cancelled PO</x:v>
      </x:c>
      <x:c r="D45" s="24" t="n">
        <x:v>19960.28</x:v>
      </x:c>
      <x:c r="E45" t="str">
        <x:v>Yes</x:v>
      </x:c>
    </x:row>
    <x:row r="46">
      <x:c r="A46" t="str">
        <x:v>Passenger Vessel, LTSA</x:v>
      </x:c>
      <x:c r="B46" t="str">
        <x:v>PV_PO_045</x:v>
      </x:c>
      <x:c r="C46" t="str">
        <x:v>Ordinary latest non-cancelled PO</x:v>
      </x:c>
      <x:c r="D46" s="24" t="n">
        <x:v>31154.24</x:v>
      </x:c>
      <x:c r="E46" t="str">
        <x:v>Yes</x:v>
      </x:c>
    </x:row>
    <x:row r="47">
      <x:c r="A47" t="str">
        <x:v>Passenger Vessel, LTSA</x:v>
      </x:c>
      <x:c r="B47" t="str">
        <x:v>PV_PO_046</x:v>
      </x:c>
      <x:c r="C47" t="str">
        <x:v>Ordinary latest non-cancelled PO</x:v>
      </x:c>
      <x:c r="D47" s="24" t="n">
        <x:v>31321.12</x:v>
      </x:c>
      <x:c r="E47" t="str">
        <x:v>Yes</x:v>
      </x:c>
    </x:row>
    <x:row r="48">
      <x:c r="A48" t="str">
        <x:v>Passenger Vessel, LTSA</x:v>
      </x:c>
      <x:c r="B48" t="str">
        <x:v>PV_PO_047</x:v>
      </x:c>
      <x:c r="C48" t="str">
        <x:v>Ordinary latest non-cancelled PO</x:v>
      </x:c>
      <x:c r="D48" s="24" t="n">
        <x:v>33482.81</x:v>
      </x:c>
      <x:c r="E48" t="str">
        <x:v>Yes</x:v>
      </x:c>
    </x:row>
    <x:row r="49">
      <x:c r="A49" t="str">
        <x:v>Passenger Vessel, LTSA</x:v>
      </x:c>
      <x:c r="B49" t="str">
        <x:v>PV_PO_048</x:v>
      </x:c>
      <x:c r="C49" t="str">
        <x:v>Ordinary latest non-cancelled PO</x:v>
      </x:c>
      <x:c r="D49" s="24" t="n">
        <x:v>55797.49</x:v>
      </x:c>
      <x:c r="E49" t="str">
        <x:v>Yes</x:v>
      </x:c>
    </x:row>
    <x:row r="50">
      <x:c r="A50" t="str">
        <x:v>Passenger Vessel, LTSA</x:v>
      </x:c>
      <x:c r="B50" t="str">
        <x:v>PV_PO_049</x:v>
      </x:c>
      <x:c r="C50" t="str">
        <x:v>Ordinary latest non-cancelled PO</x:v>
      </x:c>
      <x:c r="D50" s="24" t="n">
        <x:v>123324.76</x:v>
      </x:c>
      <x:c r="E50" t="str">
        <x:v>Yes</x:v>
      </x:c>
    </x:row>
    <x:row r="51">
      <x:c r="A51" t="str">
        <x:v>Passenger Vessel, LTSA</x:v>
      </x:c>
      <x:c r="B51" t="str">
        <x:v>PV_PO_050</x:v>
      </x:c>
      <x:c r="C51" t="str">
        <x:v>Ordinary latest non-cancelled PO</x:v>
      </x:c>
      <x:c r="D51" s="24" t="n">
        <x:v>139162.96</x:v>
      </x:c>
      <x:c r="E51" t="str">
        <x:v>Yes</x:v>
      </x:c>
    </x:row>
    <x:row r="52">
      <x:c r="A52" t="str">
        <x:v>Passenger Vessel, LTSA</x:v>
      </x:c>
      <x:c r="B52" t="str">
        <x:v>PV_PO_051</x:v>
      </x:c>
      <x:c r="C52" t="str">
        <x:v>Recurring agreement exposure</x:v>
      </x:c>
      <x:c r="D52" s="24" t="n">
        <x:v>10180.68</x:v>
      </x:c>
      <x:c r="E52" t="str">
        <x:v>Yes</x:v>
      </x:c>
    </x:row>
    <x:row r="53">
      <x:c r="A53" t="str">
        <x:v>Passenger Vessel, LTSA</x:v>
      </x:c>
      <x:c r="B53" t="str">
        <x:v>PV_PO_052</x:v>
      </x:c>
      <x:c r="C53" t="str">
        <x:v>Recurring agreement exposure</x:v>
      </x:c>
      <x:c r="D53" s="24" t="n">
        <x:v>10420.3</x:v>
      </x:c>
      <x:c r="E53" t="str">
        <x:v>Yes</x:v>
      </x:c>
    </x:row>
    <x:row r="54">
      <x:c r="A54" t="str">
        <x:v>Passenger Vessel, LTSA</x:v>
      </x:c>
      <x:c r="B54" t="str">
        <x:v>PV_PO_053</x:v>
      </x:c>
      <x:c r="C54" t="str">
        <x:v>Recurring agreement exposure</x:v>
      </x:c>
      <x:c r="D54" s="24" t="n">
        <x:v>11799.93</x:v>
      </x:c>
      <x:c r="E54" t="str">
        <x:v>Yes</x:v>
      </x:c>
    </x:row>
    <x:row r="55">
      <x:c r="A55" t="str">
        <x:v>Passenger Vessel, LTSA</x:v>
      </x:c>
      <x:c r="B55" t="str">
        <x:v>PV_PO_054</x:v>
      </x:c>
      <x:c r="C55" t="str">
        <x:v>Recurring agreement exposure</x:v>
      </x:c>
      <x:c r="D55" s="24" t="n">
        <x:v>13294.87</x:v>
      </x:c>
      <x:c r="E55" t="str">
        <x:v>Yes</x:v>
      </x:c>
    </x:row>
    <x:row r="56">
      <x:c r="A56" t="str">
        <x:v>Passenger Vessel, LTSA</x:v>
      </x:c>
      <x:c r="B56" t="str">
        <x:v>PV_PO_055</x:v>
      </x:c>
      <x:c r="C56" t="str">
        <x:v>Recurring agreement exposure</x:v>
      </x:c>
      <x:c r="D56" s="24" t="n">
        <x:v>14013.51</x:v>
      </x:c>
      <x:c r="E56" t="str">
        <x:v>Yes</x:v>
      </x:c>
    </x:row>
    <x:row r="57">
      <x:c r="A57" t="str">
        <x:v>Passenger Vessel, LTSA</x:v>
      </x:c>
      <x:c r="B57" t="str">
        <x:v>PV_PO_056</x:v>
      </x:c>
      <x:c r="C57" t="str">
        <x:v>Recurring agreement exposure</x:v>
      </x:c>
      <x:c r="D57" s="24" t="n">
        <x:v>14013.51</x:v>
      </x:c>
      <x:c r="E57" t="str">
        <x:v>Yes</x:v>
      </x:c>
    </x:row>
    <x:row r="58">
      <x:c r="A58" t="str">
        <x:v>Passenger Vessel, LTSA</x:v>
      </x:c>
      <x:c r="B58" t="str">
        <x:v>PV_PO_057</x:v>
      </x:c>
      <x:c r="C58" t="str">
        <x:v>Recurring agreement exposure</x:v>
      </x:c>
      <x:c r="D58" s="24" t="n">
        <x:v>14013.51</x:v>
      </x:c>
      <x:c r="E58" t="str">
        <x:v>Yes</x:v>
      </x:c>
    </x:row>
    <x:row r="59">
      <x:c r="A59" t="str">
        <x:v>Passenger Vessel, LTSA</x:v>
      </x:c>
      <x:c r="B59" t="str">
        <x:v>PV_PO_058</x:v>
      </x:c>
      <x:c r="C59" t="str">
        <x:v>Recurring agreement exposure</x:v>
      </x:c>
      <x:c r="D59" s="24" t="n">
        <x:v>16169.44</x:v>
      </x:c>
      <x:c r="E59" t="str">
        <x:v>Yes</x:v>
      </x:c>
    </x:row>
    <x:row r="60">
      <x:c r="A60" t="str">
        <x:v>Passenger Vessel, LTSA</x:v>
      </x:c>
      <x:c r="B60" t="str">
        <x:v>PV_PO_059</x:v>
      </x:c>
      <x:c r="C60" t="str">
        <x:v>Recurring agreement exposure</x:v>
      </x:c>
      <x:c r="D60" s="24" t="n">
        <x:v>16972.35</x:v>
      </x:c>
      <x:c r="E60" t="str">
        <x:v>Yes</x:v>
      </x:c>
    </x:row>
    <x:row r="61">
      <x:c r="A61" t="str">
        <x:v>Passenger Vessel, LTSA</x:v>
      </x:c>
      <x:c r="B61" t="str">
        <x:v>PV_PO_060</x:v>
      </x:c>
      <x:c r="C61" t="str">
        <x:v>Recurring agreement exposure</x:v>
      </x:c>
      <x:c r="D61" s="24" t="n">
        <x:v>21327.37</x:v>
      </x:c>
      <x:c r="E61" t="str">
        <x:v>Yes</x:v>
      </x:c>
    </x:row>
    <x:row r="62">
      <x:c r="A62" t="str">
        <x:v>Passenger Vessel, LTSA</x:v>
      </x:c>
      <x:c r="B62" t="str">
        <x:v>PV_PO_061</x:v>
      </x:c>
      <x:c r="C62" t="str">
        <x:v>Recurring agreement exposure</x:v>
      </x:c>
      <x:c r="D62" s="24" t="n">
        <x:v>22133.26</x:v>
      </x:c>
      <x:c r="E62" t="str">
        <x:v>Yes</x:v>
      </x:c>
    </x:row>
    <x:row r="63">
      <x:c r="A63" t="str">
        <x:v>Passenger Vessel, LTSA</x:v>
      </x:c>
      <x:c r="B63" t="str">
        <x:v>PV_PO_062</x:v>
      </x:c>
      <x:c r="C63" t="str">
        <x:v>Recurring agreement exposure</x:v>
      </x:c>
      <x:c r="D63" s="24" t="n">
        <x:v>23355.86</x:v>
      </x:c>
      <x:c r="E63" t="str">
        <x:v>Yes</x:v>
      </x:c>
    </x:row>
    <x:row r="64">
      <x:c r="A64" t="str">
        <x:v>Passenger Vessel, LTSA</x:v>
      </x:c>
      <x:c r="B64" t="str">
        <x:v>PV_PO_063</x:v>
      </x:c>
      <x:c r="C64" t="str">
        <x:v>Recurring agreement exposure</x:v>
      </x:c>
      <x:c r="D64" s="24" t="n">
        <x:v>24781.31</x:v>
      </x:c>
      <x:c r="E64" t="str">
        <x:v>Yes</x:v>
      </x:c>
    </x:row>
    <x:row r="65">
      <x:c r="A65" t="str">
        <x:v>Passenger Vessel, LTSA</x:v>
      </x:c>
      <x:c r="B65" t="str">
        <x:v>PV_PO_064</x:v>
      </x:c>
      <x:c r="C65" t="str">
        <x:v>Recurring agreement exposure</x:v>
      </x:c>
      <x:c r="D65" s="24" t="n">
        <x:v>25864.88</x:v>
      </x:c>
      <x:c r="E65" t="str">
        <x:v>Yes</x:v>
      </x:c>
    </x:row>
    <x:row r="66">
      <x:c r="A66" t="str">
        <x:v>Passenger Vessel, LTSA</x:v>
      </x:c>
      <x:c r="B66" t="str">
        <x:v>PV_PO_065</x:v>
      </x:c>
      <x:c r="C66" t="str">
        <x:v>Recurring agreement exposure</x:v>
      </x:c>
      <x:c r="D66" s="24" t="n">
        <x:v>26230.43</x:v>
      </x:c>
      <x:c r="E66" t="str">
        <x:v>Yes</x:v>
      </x:c>
    </x:row>
    <x:row r="67">
      <x:c r="A67" t="str">
        <x:v>Passenger Vessel, LTSA</x:v>
      </x:c>
      <x:c r="B67" t="str">
        <x:v>PV_PO_066</x:v>
      </x:c>
      <x:c r="C67" t="str">
        <x:v>Recurring agreement exposure</x:v>
      </x:c>
      <x:c r="D67" s="24" t="n">
        <x:v>26823.62</x:v>
      </x:c>
      <x:c r="E67" t="str">
        <x:v>Yes</x:v>
      </x:c>
    </x:row>
    <x:row r="68">
      <x:c r="A68" t="str">
        <x:v>Passenger Vessel, LTSA</x:v>
      </x:c>
      <x:c r="B68" t="str">
        <x:v>PV_PO_067</x:v>
      </x:c>
      <x:c r="C68" t="str">
        <x:v>Recurring agreement exposure</x:v>
      </x:c>
      <x:c r="D68" s="24" t="n">
        <x:v>26823.62</x:v>
      </x:c>
      <x:c r="E68" t="str">
        <x:v>Yes</x:v>
      </x:c>
    </x:row>
    <x:row r="69">
      <x:c r="A69" t="str">
        <x:v>Passenger Vessel, LTSA</x:v>
      </x:c>
      <x:c r="B69" t="str">
        <x:v>PV_PO_068</x:v>
      </x:c>
      <x:c r="C69" t="str">
        <x:v>Recurring agreement exposure</x:v>
      </x:c>
      <x:c r="D69" s="24" t="n">
        <x:v>27011.65</x:v>
      </x:c>
      <x:c r="E69" t="str">
        <x:v>Yes</x:v>
      </x:c>
    </x:row>
    <x:row r="70">
      <x:c r="A70" t="str">
        <x:v>Passenger Vessel, LTSA</x:v>
      </x:c>
      <x:c r="B70" t="str">
        <x:v>PV_PO_069</x:v>
      </x:c>
      <x:c r="C70" t="str">
        <x:v>Recurring agreement exposure</x:v>
      </x:c>
      <x:c r="D70" s="24" t="n">
        <x:v>27308.39</x:v>
      </x:c>
      <x:c r="E70" t="str">
        <x:v>Yes</x:v>
      </x:c>
    </x:row>
    <x:row r="71">
      <x:c r="A71" t="str">
        <x:v>Passenger Vessel, LTSA</x:v>
      </x:c>
      <x:c r="B71" t="str">
        <x:v>PV_PO_070</x:v>
      </x:c>
      <x:c r="C71" t="str">
        <x:v>Recurring agreement exposure</x:v>
      </x:c>
      <x:c r="D71" s="24" t="n">
        <x:v>30606.78</x:v>
      </x:c>
      <x:c r="E71" t="str">
        <x:v>Yes</x:v>
      </x:c>
    </x:row>
    <x:row r="72">
      <x:c r="A72" t="str">
        <x:v>Passenger Vessel, LTSA</x:v>
      </x:c>
      <x:c r="B72" t="str">
        <x:v>PV_PO_071</x:v>
      </x:c>
      <x:c r="C72" t="str">
        <x:v>Recurring agreement exposure</x:v>
      </x:c>
      <x:c r="D72" s="24" t="n">
        <x:v>32325.42</x:v>
      </x:c>
      <x:c r="E72" t="str">
        <x:v>Yes</x:v>
      </x:c>
    </x:row>
    <x:row r="73">
      <x:c r="A73" t="str">
        <x:v>Passenger Vessel, LTSA</x:v>
      </x:c>
      <x:c r="B73" t="str">
        <x:v>PV_PO_072</x:v>
      </x:c>
      <x:c r="C73" t="str">
        <x:v>Recurring agreement exposure</x:v>
      </x:c>
      <x:c r="D73" s="24" t="n">
        <x:v>32698.21</x:v>
      </x:c>
      <x:c r="E73" t="str">
        <x:v>Yes</x:v>
      </x:c>
    </x:row>
    <x:row r="74">
      <x:c r="A74" t="str">
        <x:v>Passenger Vessel, LTSA</x:v>
      </x:c>
      <x:c r="B74" t="str">
        <x:v>PV_PO_073</x:v>
      </x:c>
      <x:c r="C74" t="str">
        <x:v>Recurring agreement exposure</x:v>
      </x:c>
      <x:c r="D74" s="24" t="n">
        <x:v>32768.24</x:v>
      </x:c>
      <x:c r="E74" t="str">
        <x:v>Yes</x:v>
      </x:c>
    </x:row>
    <x:row r="75">
      <x:c r="A75" t="str">
        <x:v>Passenger Vessel, LTSA</x:v>
      </x:c>
      <x:c r="B75" t="str">
        <x:v>PV_PO_074</x:v>
      </x:c>
      <x:c r="C75" t="str">
        <x:v>Recurring agreement exposure</x:v>
      </x:c>
      <x:c r="D75" s="24" t="n">
        <x:v>35867.93</x:v>
      </x:c>
      <x:c r="E75" t="str">
        <x:v>Yes</x:v>
      </x:c>
    </x:row>
    <x:row r="76">
      <x:c r="A76" t="str">
        <x:v>Passenger Vessel, LTSA</x:v>
      </x:c>
      <x:c r="B76" t="str">
        <x:v>PV_PO_075</x:v>
      </x:c>
      <x:c r="C76" t="str">
        <x:v>Recurring agreement exposure</x:v>
      </x:c>
      <x:c r="D76" s="24" t="n">
        <x:v>38366.24</x:v>
      </x:c>
      <x:c r="E76" t="str">
        <x:v>Yes</x:v>
      </x:c>
    </x:row>
    <x:row r="77">
      <x:c r="A77" t="str">
        <x:v>Passenger Vessel, LTSA</x:v>
      </x:c>
      <x:c r="B77" t="str">
        <x:v>PV_PO_076</x:v>
      </x:c>
      <x:c r="C77" t="str">
        <x:v>Recurring agreement exposure</x:v>
      </x:c>
      <x:c r="D77" s="24" t="n">
        <x:v>38524.82</x:v>
      </x:c>
      <x:c r="E77" t="str">
        <x:v>Yes</x:v>
      </x:c>
    </x:row>
    <x:row r="78">
      <x:c r="A78" t="str">
        <x:v>Passenger Vessel, LTSA</x:v>
      </x:c>
      <x:c r="B78" t="str">
        <x:v>PV_PO_077</x:v>
      </x:c>
      <x:c r="C78" t="str">
        <x:v>Recurring agreement exposure</x:v>
      </x:c>
      <x:c r="D78" s="24" t="n">
        <x:v>38789.86</x:v>
      </x:c>
      <x:c r="E78" t="str">
        <x:v>Yes</x:v>
      </x:c>
    </x:row>
    <x:row r="79">
      <x:c r="A79" t="str">
        <x:v>Passenger Vessel, LTSA</x:v>
      </x:c>
      <x:c r="B79" t="str">
        <x:v>PV_PO_078</x:v>
      </x:c>
      <x:c r="C79" t="str">
        <x:v>Recurring agreement exposure</x:v>
      </x:c>
      <x:c r="D79" s="24" t="n">
        <x:v>39679.01</x:v>
      </x:c>
      <x:c r="E79" t="str">
        <x:v>Yes</x:v>
      </x:c>
    </x:row>
    <x:row r="80">
      <x:c r="A80" t="str">
        <x:v>Passenger Vessel, LTSA</x:v>
      </x:c>
      <x:c r="B80" t="str">
        <x:v>PV_PO_079</x:v>
      </x:c>
      <x:c r="C80" t="str">
        <x:v>Recurring agreement exposure</x:v>
      </x:c>
      <x:c r="D80" s="24" t="n">
        <x:v>39679.01</x:v>
      </x:c>
      <x:c r="E80" t="str">
        <x:v>Yes</x:v>
      </x:c>
    </x:row>
    <x:row r="81">
      <x:c r="A81" t="str">
        <x:v>Passenger Vessel, LTSA</x:v>
      </x:c>
      <x:c r="B81" t="str">
        <x:v>PV_PO_080</x:v>
      </x:c>
      <x:c r="C81" t="str">
        <x:v>Recurring agreement exposure</x:v>
      </x:c>
      <x:c r="D81" s="24" t="n">
        <x:v>39679.01</x:v>
      </x:c>
      <x:c r="E81" t="str">
        <x:v>Yes</x:v>
      </x:c>
    </x:row>
    <x:row r="82">
      <x:c r="A82" t="str">
        <x:v>Passenger Vessel, LTSA</x:v>
      </x:c>
      <x:c r="B82" t="str">
        <x:v>PV_PO_081</x:v>
      </x:c>
      <x:c r="C82" t="str">
        <x:v>Recurring agreement exposure</x:v>
      </x:c>
      <x:c r="D82" s="24" t="n">
        <x:v>40090.57</x:v>
      </x:c>
      <x:c r="E82" t="str">
        <x:v>Yes</x:v>
      </x:c>
    </x:row>
    <x:row r="83">
      <x:c r="A83" t="str">
        <x:v>Passenger Vessel, LTSA</x:v>
      </x:c>
      <x:c r="B83" t="str">
        <x:v>PV_PO_082</x:v>
      </x:c>
      <x:c r="C83" t="str">
        <x:v>Recurring agreement exposure</x:v>
      </x:c>
      <x:c r="D83" s="24" t="n">
        <x:v>40090.57</x:v>
      </x:c>
      <x:c r="E83" t="str">
        <x:v>Yes</x:v>
      </x:c>
    </x:row>
    <x:row r="84">
      <x:c r="A84" t="str">
        <x:v>Passenger Vessel, LTSA</x:v>
      </x:c>
      <x:c r="B84" t="str">
        <x:v>PV_PO_083</x:v>
      </x:c>
      <x:c r="C84" t="str">
        <x:v>Recurring agreement exposure</x:v>
      </x:c>
      <x:c r="D84" s="24" t="n">
        <x:v>41383.81</x:v>
      </x:c>
      <x:c r="E84" t="str">
        <x:v>Yes</x:v>
      </x:c>
    </x:row>
    <x:row r="85">
      <x:c r="A85" t="str">
        <x:v>Passenger Vessel, LTSA</x:v>
      </x:c>
      <x:c r="B85" t="str">
        <x:v>PV_PO_084</x:v>
      </x:c>
      <x:c r="C85" t="str">
        <x:v>Recurring agreement exposure</x:v>
      </x:c>
      <x:c r="D85" s="24" t="n">
        <x:v>41745.27</x:v>
      </x:c>
      <x:c r="E85" t="str">
        <x:v>Yes</x:v>
      </x:c>
    </x:row>
    <x:row r="86">
      <x:c r="A86" t="str">
        <x:v>Passenger Vessel, LTSA</x:v>
      </x:c>
      <x:c r="B86" t="str">
        <x:v>PV_PO_085</x:v>
      </x:c>
      <x:c r="C86" t="str">
        <x:v>Recurring agreement exposure</x:v>
      </x:c>
      <x:c r="D86" s="24" t="n">
        <x:v>41814.89</x:v>
      </x:c>
      <x:c r="E86" t="str">
        <x:v>Yes</x:v>
      </x:c>
    </x:row>
    <x:row r="87">
      <x:c r="A87" t="str">
        <x:v>Passenger Vessel, LTSA</x:v>
      </x:c>
      <x:c r="B87" t="str">
        <x:v>PV_PO_086</x:v>
      </x:c>
      <x:c r="C87" t="str">
        <x:v>Recurring agreement exposure</x:v>
      </x:c>
      <x:c r="D87" s="24" t="n">
        <x:v>42245.97</x:v>
      </x:c>
      <x:c r="E87" t="str">
        <x:v>Yes</x:v>
      </x:c>
    </x:row>
    <x:row r="88">
      <x:c r="A88" t="str">
        <x:v>Passenger Vessel, LTSA</x:v>
      </x:c>
      <x:c r="B88" t="str">
        <x:v>PV_PO_087</x:v>
      </x:c>
      <x:c r="C88" t="str">
        <x:v>Recurring agreement exposure</x:v>
      </x:c>
      <x:c r="D88" s="24" t="n">
        <x:v>43592.41</x:v>
      </x:c>
      <x:c r="E88" t="str">
        <x:v>Yes</x:v>
      </x:c>
    </x:row>
    <x:row r="89">
      <x:c r="A89" t="str">
        <x:v>Passenger Vessel, LTSA</x:v>
      </x:c>
      <x:c r="B89" t="str">
        <x:v>PV_PO_088</x:v>
      </x:c>
      <x:c r="C89" t="str">
        <x:v>Recurring agreement exposure</x:v>
      </x:c>
      <x:c r="D89" s="24" t="n">
        <x:v>54305.8</x:v>
      </x:c>
      <x:c r="E89" t="str">
        <x:v>Yes</x:v>
      </x:c>
    </x:row>
    <x:row r="90">
      <x:c r="A90" t="str">
        <x:v>Passenger Vessel, LTSA</x:v>
      </x:c>
      <x:c r="B90" t="str">
        <x:v>PV_PO_089</x:v>
      </x:c>
      <x:c r="C90" t="str">
        <x:v>Recurring agreement exposure</x:v>
      </x:c>
      <x:c r="D90" s="24" t="n">
        <x:v>55044.65</x:v>
      </x:c>
      <x:c r="E90" t="str">
        <x:v>Yes</x:v>
      </x:c>
    </x:row>
    <x:row r="91">
      <x:c r="A91" t="str">
        <x:v>Passenger Vessel, LTSA</x:v>
      </x:c>
      <x:c r="B91" t="str">
        <x:v>PV_PO_090</x:v>
      </x:c>
      <x:c r="C91" t="str">
        <x:v>Recurring agreement exposure</x:v>
      </x:c>
      <x:c r="D91" s="24" t="n">
        <x:v>55414.08</x:v>
      </x:c>
      <x:c r="E91" t="str">
        <x:v>Yes</x:v>
      </x:c>
    </x:row>
    <x:row r="92">
      <x:c r="A92" t="str">
        <x:v>Passenger Vessel, LTSA</x:v>
      </x:c>
      <x:c r="B92" t="str">
        <x:v>PV_PO_091</x:v>
      </x:c>
      <x:c r="C92" t="str">
        <x:v>Recurring agreement exposure</x:v>
      </x:c>
      <x:c r="D92" s="24" t="n">
        <x:v>59920.31</x:v>
      </x:c>
      <x:c r="E92" t="str">
        <x:v>Yes</x:v>
      </x:c>
    </x:row>
    <x:row r="93">
      <x:c r="A93" t="str">
        <x:v>Passenger Vessel, LTSA</x:v>
      </x:c>
      <x:c r="B93" t="str">
        <x:v>PV_PO_092</x:v>
      </x:c>
      <x:c r="C93" t="str">
        <x:v>Recurring agreement exposure</x:v>
      </x:c>
      <x:c r="D93" s="24" t="n">
        <x:v>72777.16</x:v>
      </x:c>
      <x:c r="E93" t="str">
        <x:v>Yes</x:v>
      </x:c>
    </x:row>
    <x:row r="94">
      <x:c r="A94" t="str">
        <x:v>Passenger Vessel, LTSA</x:v>
      </x:c>
      <x:c r="B94" t="str">
        <x:v>PV_PO_093</x:v>
      </x:c>
      <x:c r="C94" t="str">
        <x:v>Long-lead agreement exposure</x:v>
      </x:c>
      <x:c r="D94" s="24" t="n">
        <x:v>2410.18</x:v>
      </x:c>
      <x:c r="E94" t="str">
        <x:v>Yes</x:v>
      </x:c>
    </x:row>
    <x:row r="95">
      <x:c r="A95" t="str">
        <x:v>Passenger Vessel, LTSA</x:v>
      </x:c>
      <x:c r="B95" t="str">
        <x:v>PV_PO_094</x:v>
      </x:c>
      <x:c r="C95" t="str">
        <x:v>Long-lead agreement exposure</x:v>
      </x:c>
      <x:c r="D95" s="24" t="n">
        <x:v>2410.18</x:v>
      </x:c>
      <x:c r="E95" t="str">
        <x:v>Yes</x:v>
      </x:c>
    </x:row>
    <x:row r="96">
      <x:c r="A96" t="str">
        <x:v>Passenger Vessel, LTSA</x:v>
      </x:c>
      <x:c r="B96" t="str">
        <x:v>PV_PO_095</x:v>
      </x:c>
      <x:c r="C96" t="str">
        <x:v>Long-lead agreement exposure</x:v>
      </x:c>
      <x:c r="D96" s="24" t="n">
        <x:v>2410.18</x:v>
      </x:c>
      <x:c r="E96" t="str">
        <x:v>Yes</x:v>
      </x:c>
    </x:row>
    <x:row r="97">
      <x:c r="A97" t="str">
        <x:v>Passenger Vessel, LTSA</x:v>
      </x:c>
      <x:c r="B97" t="str">
        <x:v>PV_PO_096</x:v>
      </x:c>
      <x:c r="C97" t="str">
        <x:v>Long-lead agreement exposure</x:v>
      </x:c>
      <x:c r="D97" s="24" t="n">
        <x:v>2410.18</x:v>
      </x:c>
      <x:c r="E97" t="str">
        <x:v>Yes</x:v>
      </x:c>
    </x:row>
    <x:row r="98">
      <x:c r="A98" t="str">
        <x:v>Passenger Vessel, LTSA</x:v>
      </x:c>
      <x:c r="B98" t="str">
        <x:v>PV_PO_097</x:v>
      </x:c>
      <x:c r="C98" t="str">
        <x:v>Long-lead agreement exposure</x:v>
      </x:c>
      <x:c r="D98" s="24" t="n">
        <x:v>2410.18</x:v>
      </x:c>
      <x:c r="E98" t="str">
        <x:v>Yes</x:v>
      </x:c>
    </x:row>
    <x:row r="99">
      <x:c r="A99" t="str">
        <x:v>Passenger Vessel, LTSA</x:v>
      </x:c>
      <x:c r="B99" t="str">
        <x:v>PV_PO_098</x:v>
      </x:c>
      <x:c r="C99" t="str">
        <x:v>Long-lead agreement exposure</x:v>
      </x:c>
      <x:c r="D99" s="24" t="n">
        <x:v>2410.18</x:v>
      </x:c>
      <x:c r="E99" t="str">
        <x:v>Yes</x:v>
      </x:c>
    </x:row>
    <x:row r="100">
      <x:c r="A100" t="str">
        <x:v>Passenger Vessel, LTSA</x:v>
      </x:c>
      <x:c r="B100" t="str">
        <x:v>PV_PO_099</x:v>
      </x:c>
      <x:c r="C100" t="str">
        <x:v>Long-lead agreement exposure</x:v>
      </x:c>
      <x:c r="D100" s="24" t="n">
        <x:v>2410.18</x:v>
      </x:c>
      <x:c r="E100" t="str">
        <x:v>Yes</x:v>
      </x:c>
    </x:row>
    <x:row r="101">
      <x:c r="A101" t="str">
        <x:v>Passenger Vessel, LTSA</x:v>
      </x:c>
      <x:c r="B101" t="str">
        <x:v>PV_PO_100</x:v>
      </x:c>
      <x:c r="C101" t="str">
        <x:v>Long-lead agreement exposure</x:v>
      </x:c>
      <x:c r="D101" s="24" t="n">
        <x:v>2410.18</x:v>
      </x:c>
      <x:c r="E101" t="str">
        <x:v>Yes</x:v>
      </x:c>
    </x:row>
    <x:row r="102">
      <x:c r="A102" t="str">
        <x:v>Passenger Vessel, LTSA</x:v>
      </x:c>
      <x:c r="B102" t="str">
        <x:v>PV_PO_101</x:v>
      </x:c>
      <x:c r="C102" t="str">
        <x:v>Long-lead agreement exposure</x:v>
      </x:c>
      <x:c r="D102" s="24" t="n">
        <x:v>2410.18</x:v>
      </x:c>
      <x:c r="E102" t="str">
        <x:v>Yes</x:v>
      </x:c>
    </x:row>
    <x:row r="103">
      <x:c r="A103" t="str">
        <x:v>Passenger Vessel, LTSA</x:v>
      </x:c>
      <x:c r="B103" t="str">
        <x:v>PV_PO_102</x:v>
      </x:c>
      <x:c r="C103" t="str">
        <x:v>Long-lead agreement exposure</x:v>
      </x:c>
      <x:c r="D103" s="24" t="n">
        <x:v>2410.18</x:v>
      </x:c>
      <x:c r="E103" t="str">
        <x:v>Yes</x:v>
      </x:c>
    </x:row>
    <x:row r="104">
      <x:c r="A104" t="str">
        <x:v>Passenger Vessel, LTSA</x:v>
      </x:c>
      <x:c r="B104" t="str">
        <x:v>PV_PO_103</x:v>
      </x:c>
      <x:c r="C104" t="str">
        <x:v>Long-lead agreement exposure</x:v>
      </x:c>
      <x:c r="D104" s="24" t="n">
        <x:v>2410.18</x:v>
      </x:c>
      <x:c r="E104" t="str">
        <x:v>Yes</x:v>
      </x:c>
    </x:row>
    <x:row r="105">
      <x:c r="A105" t="str">
        <x:v>Passenger Vessel, LTSA</x:v>
      </x:c>
      <x:c r="B105" t="str">
        <x:v>PV_PO_104</x:v>
      </x:c>
      <x:c r="C105" t="str">
        <x:v>Long-lead agreement exposure</x:v>
      </x:c>
      <x:c r="D105" s="24" t="n">
        <x:v>2410.18</x:v>
      </x:c>
      <x:c r="E105" t="str">
        <x:v>Yes</x:v>
      </x:c>
    </x:row>
    <x:row r="106">
      <x:c r="A106" t="str">
        <x:v>Passenger Vessel, LTSA</x:v>
      </x:c>
      <x:c r="B106" t="str">
        <x:v>PV_PO_105</x:v>
      </x:c>
      <x:c r="C106" t="str">
        <x:v>Long-lead agreement exposure</x:v>
      </x:c>
      <x:c r="D106" s="24" t="n">
        <x:v>2450.84</x:v>
      </x:c>
      <x:c r="E106" t="str">
        <x:v>Yes</x:v>
      </x:c>
    </x:row>
    <x:row r="107">
      <x:c r="A107" t="str">
        <x:v>Passenger Vessel, LTSA</x:v>
      </x:c>
      <x:c r="B107" t="str">
        <x:v>PV_PO_106</x:v>
      </x:c>
      <x:c r="C107" t="str">
        <x:v>Long-lead agreement exposure</x:v>
      </x:c>
      <x:c r="D107" s="24" t="n">
        <x:v>2450.84</x:v>
      </x:c>
      <x:c r="E107" t="str">
        <x:v>Yes</x:v>
      </x:c>
    </x:row>
    <x:row r="108">
      <x:c r="A108" t="str">
        <x:v>Passenger Vessel, LTSA</x:v>
      </x:c>
      <x:c r="B108" t="str">
        <x:v>PV_PO_107</x:v>
      </x:c>
      <x:c r="C108" t="str">
        <x:v>Long-lead agreement exposure</x:v>
      </x:c>
      <x:c r="D108" s="24" t="n">
        <x:v>2450.84</x:v>
      </x:c>
      <x:c r="E108" t="str">
        <x:v>Yes</x:v>
      </x:c>
    </x:row>
    <x:row r="109">
      <x:c r="A109" t="str">
        <x:v>Passenger Vessel, LTSA</x:v>
      </x:c>
      <x:c r="B109" t="str">
        <x:v>PV_PO_108</x:v>
      </x:c>
      <x:c r="C109" t="str">
        <x:v>Long-lead agreement exposure</x:v>
      </x:c>
      <x:c r="D109" s="24" t="n">
        <x:v>2450.84</x:v>
      </x:c>
      <x:c r="E109" t="str">
        <x:v>Yes</x:v>
      </x:c>
    </x:row>
    <x:row r="110">
      <x:c r="A110" t="str">
        <x:v>Passenger Vessel, LTSA</x:v>
      </x:c>
      <x:c r="B110" t="str">
        <x:v>PV_PO_109</x:v>
      </x:c>
      <x:c r="C110" t="str">
        <x:v>Long-lead agreement exposure</x:v>
      </x:c>
      <x:c r="D110" s="24" t="n">
        <x:v>2450.84</x:v>
      </x:c>
      <x:c r="E110" t="str">
        <x:v>Yes</x:v>
      </x:c>
    </x:row>
    <x:row r="111">
      <x:c r="A111" t="str">
        <x:v>Passenger Vessel, LTSA</x:v>
      </x:c>
      <x:c r="B111" t="str">
        <x:v>PV_PO_110</x:v>
      </x:c>
      <x:c r="C111" t="str">
        <x:v>Long-lead agreement exposure</x:v>
      </x:c>
      <x:c r="D111" s="24" t="n">
        <x:v>2450.84</x:v>
      </x:c>
      <x:c r="E111" t="str">
        <x:v>Yes</x:v>
      </x:c>
    </x:row>
    <x:row r="112">
      <x:c r="A112" t="str">
        <x:v>Passenger Vessel, LTSA</x:v>
      </x:c>
      <x:c r="B112" t="str">
        <x:v>PV_PO_111</x:v>
      </x:c>
      <x:c r="C112" t="str">
        <x:v>Long-lead agreement exposure</x:v>
      </x:c>
      <x:c r="D112" s="24" t="n">
        <x:v>2450.84</x:v>
      </x:c>
      <x:c r="E112" t="str">
        <x:v>Yes</x:v>
      </x:c>
    </x:row>
    <x:row r="113">
      <x:c r="A113" t="str">
        <x:v>Passenger Vessel, LTSA</x:v>
      </x:c>
      <x:c r="B113" t="str">
        <x:v>PV_PO_112</x:v>
      </x:c>
      <x:c r="C113" t="str">
        <x:v>Long-lead agreement exposure</x:v>
      </x:c>
      <x:c r="D113" s="24" t="n">
        <x:v>2450.84</x:v>
      </x:c>
      <x:c r="E113" t="str">
        <x:v>Yes</x:v>
      </x:c>
    </x:row>
    <x:row r="114">
      <x:c r="A114" t="str">
        <x:v>Passenger Vessel, LTSA</x:v>
      </x:c>
      <x:c r="B114" t="str">
        <x:v>PV_PO_113</x:v>
      </x:c>
      <x:c r="C114" t="str">
        <x:v>Long-lead agreement exposure</x:v>
      </x:c>
      <x:c r="D114" s="24" t="n">
        <x:v>2450.84</x:v>
      </x:c>
      <x:c r="E114" t="str">
        <x:v>Yes</x:v>
      </x:c>
    </x:row>
    <x:row r="115">
      <x:c r="A115" t="str">
        <x:v>Passenger Vessel, LTSA</x:v>
      </x:c>
      <x:c r="B115" t="str">
        <x:v>PV_PO_114</x:v>
      </x:c>
      <x:c r="C115" t="str">
        <x:v>Long-lead agreement exposure</x:v>
      </x:c>
      <x:c r="D115" s="24" t="n">
        <x:v>2450.84</x:v>
      </x:c>
      <x:c r="E115" t="str">
        <x:v>Yes</x:v>
      </x:c>
    </x:row>
    <x:row r="116">
      <x:c r="A116" t="str">
        <x:v>Passenger Vessel, LTSA</x:v>
      </x:c>
      <x:c r="B116" t="str">
        <x:v>PV_PO_115</x:v>
      </x:c>
      <x:c r="C116" t="str">
        <x:v>Long-lead agreement exposure</x:v>
      </x:c>
      <x:c r="D116" s="24" t="n">
        <x:v>2450.84</x:v>
      </x:c>
      <x:c r="E116" t="str">
        <x:v>Yes</x:v>
      </x:c>
    </x:row>
    <x:row r="117">
      <x:c r="A117" t="str">
        <x:v>Passenger Vessel, LTSA</x:v>
      </x:c>
      <x:c r="B117" t="str">
        <x:v>PV_PO_116</x:v>
      </x:c>
      <x:c r="C117" t="str">
        <x:v>Long-lead agreement exposure</x:v>
      </x:c>
      <x:c r="D117" s="24" t="n">
        <x:v>2450.84</x:v>
      </x:c>
      <x:c r="E117" t="str">
        <x:v>Yes</x:v>
      </x:c>
    </x:row>
    <x:row r="118">
      <x:c r="A118" t="str">
        <x:v>Heavy Lift Vessel, non-LTSA</x:v>
      </x:c>
      <x:c r="B118" t="str">
        <x:v>HL_PO_001</x:v>
      </x:c>
      <x:c r="C118" t="str">
        <x:v>Ordinary latest non-cancelled PO</x:v>
      </x:c>
      <x:c r="D118" s="24" t="n">
        <x:v>163.23</x:v>
      </x:c>
      <x:c r="E118" t="str">
        <x:v>Yes</x:v>
      </x:c>
    </x:row>
    <x:row r="119">
      <x:c r="A119" t="str">
        <x:v>Heavy Lift Vessel, non-LTSA</x:v>
      </x:c>
      <x:c r="B119" t="str">
        <x:v>HL_PO_002</x:v>
      </x:c>
      <x:c r="C119" t="str">
        <x:v>Ordinary latest non-cancelled PO</x:v>
      </x:c>
      <x:c r="D119" s="24" t="n">
        <x:v>166</x:v>
      </x:c>
      <x:c r="E119" t="str">
        <x:v>Yes</x:v>
      </x:c>
    </x:row>
    <x:row r="120">
      <x:c r="A120" t="str">
        <x:v>Heavy Lift Vessel, non-LTSA</x:v>
      </x:c>
      <x:c r="B120" t="str">
        <x:v>HL_PO_003</x:v>
      </x:c>
      <x:c r="C120" t="str">
        <x:v>Ordinary latest non-cancelled PO</x:v>
      </x:c>
      <x:c r="D120" s="24" t="n">
        <x:v>247.61</x:v>
      </x:c>
      <x:c r="E120" t="str">
        <x:v>Yes</x:v>
      </x:c>
    </x:row>
    <x:row r="121">
      <x:c r="A121" t="str">
        <x:v>Heavy Lift Vessel, non-LTSA</x:v>
      </x:c>
      <x:c r="B121" t="str">
        <x:v>HL_PO_004</x:v>
      </x:c>
      <x:c r="C121" t="str">
        <x:v>Ordinary latest non-cancelled PO</x:v>
      </x:c>
      <x:c r="D121" s="24" t="n">
        <x:v>476.05</x:v>
      </x:c>
      <x:c r="E121" t="str">
        <x:v>Yes</x:v>
      </x:c>
    </x:row>
    <x:row r="122">
      <x:c r="A122" t="str">
        <x:v>Heavy Lift Vessel, non-LTSA</x:v>
      </x:c>
      <x:c r="B122" t="str">
        <x:v>HL_PO_005</x:v>
      </x:c>
      <x:c r="C122" t="str">
        <x:v>Ordinary latest non-cancelled PO</x:v>
      </x:c>
      <x:c r="D122" s="24" t="n">
        <x:v>538.98</x:v>
      </x:c>
      <x:c r="E122" t="str">
        <x:v>Yes</x:v>
      </x:c>
    </x:row>
    <x:row r="123">
      <x:c r="A123" t="str">
        <x:v>Heavy Lift Vessel, non-LTSA</x:v>
      </x:c>
      <x:c r="B123" t="str">
        <x:v>HL_PO_006</x:v>
      </x:c>
      <x:c r="C123" t="str">
        <x:v>Ordinary latest non-cancelled PO</x:v>
      </x:c>
      <x:c r="D123" s="24" t="n">
        <x:v>619.86</x:v>
      </x:c>
      <x:c r="E123" t="str">
        <x:v>Yes</x:v>
      </x:c>
    </x:row>
    <x:row r="124">
      <x:c r="A124" t="str">
        <x:v>Heavy Lift Vessel, non-LTSA</x:v>
      </x:c>
      <x:c r="B124" t="str">
        <x:v>HL_PO_007</x:v>
      </x:c>
      <x:c r="C124" t="str">
        <x:v>Ordinary latest non-cancelled PO</x:v>
      </x:c>
      <x:c r="D124" s="24" t="n">
        <x:v>622.71</x:v>
      </x:c>
      <x:c r="E124" t="str">
        <x:v>Yes</x:v>
      </x:c>
    </x:row>
    <x:row r="125">
      <x:c r="A125" t="str">
        <x:v>Heavy Lift Vessel, non-LTSA</x:v>
      </x:c>
      <x:c r="B125" t="str">
        <x:v>HL_PO_008</x:v>
      </x:c>
      <x:c r="C125" t="str">
        <x:v>Ordinary latest non-cancelled PO</x:v>
      </x:c>
      <x:c r="D125" s="24" t="n">
        <x:v>729.74</x:v>
      </x:c>
      <x:c r="E125" t="str">
        <x:v>Yes</x:v>
      </x:c>
    </x:row>
    <x:row r="126">
      <x:c r="A126" t="str">
        <x:v>Heavy Lift Vessel, non-LTSA</x:v>
      </x:c>
      <x:c r="B126" t="str">
        <x:v>HL_PO_009</x:v>
      </x:c>
      <x:c r="C126" t="str">
        <x:v>Ordinary latest non-cancelled PO</x:v>
      </x:c>
      <x:c r="D126" s="24" t="n">
        <x:v>818.14</x:v>
      </x:c>
      <x:c r="E126" t="str">
        <x:v>Yes</x:v>
      </x:c>
    </x:row>
    <x:row r="127">
      <x:c r="A127" t="str">
        <x:v>Heavy Lift Vessel, non-LTSA</x:v>
      </x:c>
      <x:c r="B127" t="str">
        <x:v>HL_PO_010</x:v>
      </x:c>
      <x:c r="C127" t="str">
        <x:v>Ordinary latest non-cancelled PO</x:v>
      </x:c>
      <x:c r="D127" s="24" t="n">
        <x:v>818.75</x:v>
      </x:c>
      <x:c r="E127" t="str">
        <x:v>Yes</x:v>
      </x:c>
    </x:row>
    <x:row r="128">
      <x:c r="A128" t="str">
        <x:v>Heavy Lift Vessel, non-LTSA</x:v>
      </x:c>
      <x:c r="B128" t="str">
        <x:v>HL_PO_011</x:v>
      </x:c>
      <x:c r="C128" t="str">
        <x:v>Ordinary latest non-cancelled PO</x:v>
      </x:c>
      <x:c r="D128" s="24" t="n">
        <x:v>820.96</x:v>
      </x:c>
      <x:c r="E128" t="str">
        <x:v>Yes</x:v>
      </x:c>
    </x:row>
    <x:row r="129">
      <x:c r="A129" t="str">
        <x:v>Heavy Lift Vessel, non-LTSA</x:v>
      </x:c>
      <x:c r="B129" t="str">
        <x:v>HL_PO_012</x:v>
      </x:c>
      <x:c r="C129" t="str">
        <x:v>Ordinary latest non-cancelled PO</x:v>
      </x:c>
      <x:c r="D129" s="24" t="n">
        <x:v>842.72</x:v>
      </x:c>
      <x:c r="E129" t="str">
        <x:v>Yes</x:v>
      </x:c>
    </x:row>
    <x:row r="130">
      <x:c r="A130" t="str">
        <x:v>Heavy Lift Vessel, non-LTSA</x:v>
      </x:c>
      <x:c r="B130" t="str">
        <x:v>HL_PO_013</x:v>
      </x:c>
      <x:c r="C130" t="str">
        <x:v>Ordinary latest non-cancelled PO</x:v>
      </x:c>
      <x:c r="D130" s="24" t="n">
        <x:v>901.2</x:v>
      </x:c>
      <x:c r="E130" t="str">
        <x:v>Yes</x:v>
      </x:c>
    </x:row>
    <x:row r="131">
      <x:c r="A131" t="str">
        <x:v>Heavy Lift Vessel, non-LTSA</x:v>
      </x:c>
      <x:c r="B131" t="str">
        <x:v>HL_PO_014</x:v>
      </x:c>
      <x:c r="C131" t="str">
        <x:v>Ordinary latest non-cancelled PO</x:v>
      </x:c>
      <x:c r="D131" s="24" t="n">
        <x:v>937.58</x:v>
      </x:c>
      <x:c r="E131" t="str">
        <x:v>Yes</x:v>
      </x:c>
    </x:row>
    <x:row r="132">
      <x:c r="A132" t="str">
        <x:v>Heavy Lift Vessel, non-LTSA</x:v>
      </x:c>
      <x:c r="B132" t="str">
        <x:v>HL_PO_015</x:v>
      </x:c>
      <x:c r="C132" t="str">
        <x:v>Ordinary latest non-cancelled PO</x:v>
      </x:c>
      <x:c r="D132" s="24" t="n">
        <x:v>938.67</x:v>
      </x:c>
      <x:c r="E132" t="str">
        <x:v>Yes</x:v>
      </x:c>
    </x:row>
    <x:row r="133">
      <x:c r="A133" t="str">
        <x:v>Heavy Lift Vessel, non-LTSA</x:v>
      </x:c>
      <x:c r="B133" t="str">
        <x:v>HL_PO_016</x:v>
      </x:c>
      <x:c r="C133" t="str">
        <x:v>Ordinary latest non-cancelled PO</x:v>
      </x:c>
      <x:c r="D133" s="24" t="n">
        <x:v>945.68</x:v>
      </x:c>
      <x:c r="E133" t="str">
        <x:v>Yes</x:v>
      </x:c>
    </x:row>
    <x:row r="134">
      <x:c r="A134" t="str">
        <x:v>Heavy Lift Vessel, non-LTSA</x:v>
      </x:c>
      <x:c r="B134" t="str">
        <x:v>HL_PO_017</x:v>
      </x:c>
      <x:c r="C134" t="str">
        <x:v>Ordinary latest non-cancelled PO</x:v>
      </x:c>
      <x:c r="D134" s="24" t="n">
        <x:v>946.33</x:v>
      </x:c>
      <x:c r="E134" t="str">
        <x:v>Yes</x:v>
      </x:c>
    </x:row>
    <x:row r="135">
      <x:c r="A135" t="str">
        <x:v>Heavy Lift Vessel, non-LTSA</x:v>
      </x:c>
      <x:c r="B135" t="str">
        <x:v>HL_PO_018</x:v>
      </x:c>
      <x:c r="C135" t="str">
        <x:v>Ordinary latest non-cancelled PO</x:v>
      </x:c>
      <x:c r="D135" s="24" t="n">
        <x:v>959.26</x:v>
      </x:c>
      <x:c r="E135" t="str">
        <x:v>Yes</x:v>
      </x:c>
    </x:row>
    <x:row r="136">
      <x:c r="A136" t="str">
        <x:v>Heavy Lift Vessel, non-LTSA</x:v>
      </x:c>
      <x:c r="B136" t="str">
        <x:v>HL_PO_019</x:v>
      </x:c>
      <x:c r="C136" t="str">
        <x:v>Ordinary latest non-cancelled PO</x:v>
      </x:c>
      <x:c r="D136" s="24" t="n">
        <x:v>1236.19</x:v>
      </x:c>
      <x:c r="E136" t="str">
        <x:v>Yes</x:v>
      </x:c>
    </x:row>
    <x:row r="137">
      <x:c r="A137" t="str">
        <x:v>Heavy Lift Vessel, non-LTSA</x:v>
      </x:c>
      <x:c r="B137" t="str">
        <x:v>HL_PO_020</x:v>
      </x:c>
      <x:c r="C137" t="str">
        <x:v>Ordinary latest non-cancelled PO</x:v>
      </x:c>
      <x:c r="D137" s="24" t="n">
        <x:v>1268.99</x:v>
      </x:c>
      <x:c r="E137" t="str">
        <x:v>Yes</x:v>
      </x:c>
    </x:row>
    <x:row r="138">
      <x:c r="A138" t="str">
        <x:v>Heavy Lift Vessel, non-LTSA</x:v>
      </x:c>
      <x:c r="B138" t="str">
        <x:v>HL_PO_021</x:v>
      </x:c>
      <x:c r="C138" t="str">
        <x:v>Ordinary latest non-cancelled PO</x:v>
      </x:c>
      <x:c r="D138" s="24" t="n">
        <x:v>1375.65</x:v>
      </x:c>
      <x:c r="E138" t="str">
        <x:v>Yes</x:v>
      </x:c>
    </x:row>
    <x:row r="139">
      <x:c r="A139" t="str">
        <x:v>Heavy Lift Vessel, non-LTSA</x:v>
      </x:c>
      <x:c r="B139" t="str">
        <x:v>HL_PO_022</x:v>
      </x:c>
      <x:c r="C139" t="str">
        <x:v>Ordinary latest non-cancelled PO</x:v>
      </x:c>
      <x:c r="D139" s="24" t="n">
        <x:v>1554.51</x:v>
      </x:c>
      <x:c r="E139" t="str">
        <x:v>Yes</x:v>
      </x:c>
    </x:row>
    <x:row r="140">
      <x:c r="A140" t="str">
        <x:v>Heavy Lift Vessel, non-LTSA</x:v>
      </x:c>
      <x:c r="B140" t="str">
        <x:v>HL_PO_023</x:v>
      </x:c>
      <x:c r="C140" t="str">
        <x:v>Ordinary latest non-cancelled PO</x:v>
      </x:c>
      <x:c r="D140" s="24" t="n">
        <x:v>1564.76</x:v>
      </x:c>
      <x:c r="E140" t="str">
        <x:v>Yes</x:v>
      </x:c>
    </x:row>
    <x:row r="141">
      <x:c r="A141" t="str">
        <x:v>Heavy Lift Vessel, non-LTSA</x:v>
      </x:c>
      <x:c r="B141" t="str">
        <x:v>HL_PO_024</x:v>
      </x:c>
      <x:c r="C141" t="str">
        <x:v>Ordinary latest non-cancelled PO</x:v>
      </x:c>
      <x:c r="D141" s="24" t="n">
        <x:v>1587.54</x:v>
      </x:c>
      <x:c r="E141" t="str">
        <x:v>Yes</x:v>
      </x:c>
    </x:row>
    <x:row r="142">
      <x:c r="A142" t="str">
        <x:v>Heavy Lift Vessel, non-LTSA</x:v>
      </x:c>
      <x:c r="B142" t="str">
        <x:v>HL_PO_025</x:v>
      </x:c>
      <x:c r="C142" t="str">
        <x:v>Ordinary latest non-cancelled PO</x:v>
      </x:c>
      <x:c r="D142" s="24" t="n">
        <x:v>1597.27</x:v>
      </x:c>
      <x:c r="E142" t="str">
        <x:v>Yes</x:v>
      </x:c>
    </x:row>
    <x:row r="143">
      <x:c r="A143" t="str">
        <x:v>Heavy Lift Vessel, non-LTSA</x:v>
      </x:c>
      <x:c r="B143" t="str">
        <x:v>HL_PO_026</x:v>
      </x:c>
      <x:c r="C143" t="str">
        <x:v>Ordinary latest non-cancelled PO</x:v>
      </x:c>
      <x:c r="D143" s="24" t="n">
        <x:v>1659.41</x:v>
      </x:c>
      <x:c r="E143" t="str">
        <x:v>Yes</x:v>
      </x:c>
    </x:row>
    <x:row r="144">
      <x:c r="A144" t="str">
        <x:v>Heavy Lift Vessel, non-LTSA</x:v>
      </x:c>
      <x:c r="B144" t="str">
        <x:v>HL_PO_027</x:v>
      </x:c>
      <x:c r="C144" t="str">
        <x:v>Ordinary latest non-cancelled PO</x:v>
      </x:c>
      <x:c r="D144" s="24" t="n">
        <x:v>1821.94</x:v>
      </x:c>
      <x:c r="E144" t="str">
        <x:v>Yes</x:v>
      </x:c>
    </x:row>
    <x:row r="145">
      <x:c r="A145" t="str">
        <x:v>Heavy Lift Vessel, non-LTSA</x:v>
      </x:c>
      <x:c r="B145" t="str">
        <x:v>HL_PO_028</x:v>
      </x:c>
      <x:c r="C145" t="str">
        <x:v>Ordinary latest non-cancelled PO</x:v>
      </x:c>
      <x:c r="D145" s="24" t="n">
        <x:v>1908.84</x:v>
      </x:c>
      <x:c r="E145" t="str">
        <x:v>Yes</x:v>
      </x:c>
    </x:row>
    <x:row r="146">
      <x:c r="A146" t="str">
        <x:v>Heavy Lift Vessel, non-LTSA</x:v>
      </x:c>
      <x:c r="B146" t="str">
        <x:v>HL_PO_029</x:v>
      </x:c>
      <x:c r="C146" t="str">
        <x:v>Ordinary latest non-cancelled PO</x:v>
      </x:c>
      <x:c r="D146" s="24" t="n">
        <x:v>2028.8</x:v>
      </x:c>
      <x:c r="E146" t="str">
        <x:v>Yes</x:v>
      </x:c>
    </x:row>
    <x:row r="147">
      <x:c r="A147" t="str">
        <x:v>Heavy Lift Vessel, non-LTSA</x:v>
      </x:c>
      <x:c r="B147" t="str">
        <x:v>HL_PO_030</x:v>
      </x:c>
      <x:c r="C147" t="str">
        <x:v>Ordinary latest non-cancelled PO</x:v>
      </x:c>
      <x:c r="D147" s="24" t="n">
        <x:v>2574.29</x:v>
      </x:c>
      <x:c r="E147" t="str">
        <x:v>Yes</x:v>
      </x:c>
    </x:row>
    <x:row r="148">
      <x:c r="A148" t="str">
        <x:v>Heavy Lift Vessel, non-LTSA</x:v>
      </x:c>
      <x:c r="B148" t="str">
        <x:v>HL_PO_031</x:v>
      </x:c>
      <x:c r="C148" t="str">
        <x:v>Ordinary latest non-cancelled PO</x:v>
      </x:c>
      <x:c r="D148" s="24" t="n">
        <x:v>2704.63</x:v>
      </x:c>
      <x:c r="E148" t="str">
        <x:v>Yes</x:v>
      </x:c>
    </x:row>
    <x:row r="149">
      <x:c r="A149" t="str">
        <x:v>Heavy Lift Vessel, non-LTSA</x:v>
      </x:c>
      <x:c r="B149" t="str">
        <x:v>HL_PO_032</x:v>
      </x:c>
      <x:c r="C149" t="str">
        <x:v>Ordinary latest non-cancelled PO</x:v>
      </x:c>
      <x:c r="D149" s="24" t="n">
        <x:v>2722.9</x:v>
      </x:c>
      <x:c r="E149" t="str">
        <x:v>Yes</x:v>
      </x:c>
    </x:row>
    <x:row r="150">
      <x:c r="A150" t="str">
        <x:v>Heavy Lift Vessel, non-LTSA</x:v>
      </x:c>
      <x:c r="B150" t="str">
        <x:v>HL_PO_033</x:v>
      </x:c>
      <x:c r="C150" t="str">
        <x:v>Ordinary latest non-cancelled PO</x:v>
      </x:c>
      <x:c r="D150" s="24" t="n">
        <x:v>2954.91</x:v>
      </x:c>
      <x:c r="E150" t="str">
        <x:v>Yes</x:v>
      </x:c>
    </x:row>
    <x:row r="151">
      <x:c r="A151" t="str">
        <x:v>Heavy Lift Vessel, non-LTSA</x:v>
      </x:c>
      <x:c r="B151" t="str">
        <x:v>HL_PO_034</x:v>
      </x:c>
      <x:c r="C151" t="str">
        <x:v>Ordinary latest non-cancelled PO</x:v>
      </x:c>
      <x:c r="D151" s="24" t="n">
        <x:v>3027.48</x:v>
      </x:c>
      <x:c r="E151" t="str">
        <x:v>Yes</x:v>
      </x:c>
    </x:row>
    <x:row r="152">
      <x:c r="A152" t="str">
        <x:v>Heavy Lift Vessel, non-LTSA</x:v>
      </x:c>
      <x:c r="B152" t="str">
        <x:v>HL_PO_035</x:v>
      </x:c>
      <x:c r="C152" t="str">
        <x:v>Ordinary latest non-cancelled PO</x:v>
      </x:c>
      <x:c r="D152" s="24" t="n">
        <x:v>3054.07</x:v>
      </x:c>
      <x:c r="E152" t="str">
        <x:v>Yes</x:v>
      </x:c>
    </x:row>
    <x:row r="153">
      <x:c r="A153" t="str">
        <x:v>Heavy Lift Vessel, non-LTSA</x:v>
      </x:c>
      <x:c r="B153" t="str">
        <x:v>HL_PO_036</x:v>
      </x:c>
      <x:c r="C153" t="str">
        <x:v>Ordinary latest non-cancelled PO</x:v>
      </x:c>
      <x:c r="D153" s="24" t="n">
        <x:v>3078.68</x:v>
      </x:c>
      <x:c r="E153" t="str">
        <x:v>Yes</x:v>
      </x:c>
    </x:row>
    <x:row r="154">
      <x:c r="A154" t="str">
        <x:v>Heavy Lift Vessel, non-LTSA</x:v>
      </x:c>
      <x:c r="B154" t="str">
        <x:v>HL_PO_037</x:v>
      </x:c>
      <x:c r="C154" t="str">
        <x:v>Ordinary latest non-cancelled PO</x:v>
      </x:c>
      <x:c r="D154" s="24" t="n">
        <x:v>3399.59</x:v>
      </x:c>
      <x:c r="E154" t="str">
        <x:v>Yes</x:v>
      </x:c>
    </x:row>
    <x:row r="155">
      <x:c r="A155" t="str">
        <x:v>Heavy Lift Vessel, non-LTSA</x:v>
      </x:c>
      <x:c r="B155" t="str">
        <x:v>HL_PO_038</x:v>
      </x:c>
      <x:c r="C155" t="str">
        <x:v>Ordinary latest non-cancelled PO</x:v>
      </x:c>
      <x:c r="D155" s="24" t="n">
        <x:v>3717</x:v>
      </x:c>
      <x:c r="E155" t="str">
        <x:v>Yes</x:v>
      </x:c>
    </x:row>
    <x:row r="156">
      <x:c r="A156" t="str">
        <x:v>Heavy Lift Vessel, non-LTSA</x:v>
      </x:c>
      <x:c r="B156" t="str">
        <x:v>HL_PO_039</x:v>
      </x:c>
      <x:c r="C156" t="str">
        <x:v>Ordinary latest non-cancelled PO</x:v>
      </x:c>
      <x:c r="D156" s="24" t="n">
        <x:v>3962.86</x:v>
      </x:c>
      <x:c r="E156" t="str">
        <x:v>Yes</x:v>
      </x:c>
    </x:row>
    <x:row r="157">
      <x:c r="A157" t="str">
        <x:v>Heavy Lift Vessel, non-LTSA</x:v>
      </x:c>
      <x:c r="B157" t="str">
        <x:v>HL_PO_040</x:v>
      </x:c>
      <x:c r="C157" t="str">
        <x:v>Ordinary latest non-cancelled PO</x:v>
      </x:c>
      <x:c r="D157" s="24" t="n">
        <x:v>4556.59</x:v>
      </x:c>
      <x:c r="E157" t="str">
        <x:v>Yes</x:v>
      </x:c>
    </x:row>
    <x:row r="158">
      <x:c r="A158" t="str">
        <x:v>Heavy Lift Vessel, non-LTSA</x:v>
      </x:c>
      <x:c r="B158" t="str">
        <x:v>HL_PO_041</x:v>
      </x:c>
      <x:c r="C158" t="str">
        <x:v>Ordinary latest non-cancelled PO</x:v>
      </x:c>
      <x:c r="D158" s="24" t="n">
        <x:v>4715.93</x:v>
      </x:c>
      <x:c r="E158" t="str">
        <x:v>Yes</x:v>
      </x:c>
    </x:row>
    <x:row r="159">
      <x:c r="A159" t="str">
        <x:v>Heavy Lift Vessel, non-LTSA</x:v>
      </x:c>
      <x:c r="B159" t="str">
        <x:v>HL_PO_042</x:v>
      </x:c>
      <x:c r="C159" t="str">
        <x:v>Ordinary latest non-cancelled PO</x:v>
      </x:c>
      <x:c r="D159" s="24" t="n">
        <x:v>4752.57</x:v>
      </x:c>
      <x:c r="E159" t="str">
        <x:v>Yes</x:v>
      </x:c>
    </x:row>
    <x:row r="160">
      <x:c r="A160" t="str">
        <x:v>Heavy Lift Vessel, non-LTSA</x:v>
      </x:c>
      <x:c r="B160" t="str">
        <x:v>HL_PO_043</x:v>
      </x:c>
      <x:c r="C160" t="str">
        <x:v>Ordinary latest non-cancelled PO</x:v>
      </x:c>
      <x:c r="D160" s="24" t="n">
        <x:v>4873.76</x:v>
      </x:c>
      <x:c r="E160" t="str">
        <x:v>Yes</x:v>
      </x:c>
    </x:row>
    <x:row r="161">
      <x:c r="A161" t="str">
        <x:v>Heavy Lift Vessel, non-LTSA</x:v>
      </x:c>
      <x:c r="B161" t="str">
        <x:v>HL_PO_044</x:v>
      </x:c>
      <x:c r="C161" t="str">
        <x:v>Ordinary latest non-cancelled PO</x:v>
      </x:c>
      <x:c r="D161" s="24" t="n">
        <x:v>4982</x:v>
      </x:c>
      <x:c r="E161" t="str">
        <x:v>Yes</x:v>
      </x:c>
    </x:row>
    <x:row r="162">
      <x:c r="A162" t="str">
        <x:v>Heavy Lift Vessel, non-LTSA</x:v>
      </x:c>
      <x:c r="B162" t="str">
        <x:v>HL_PO_045</x:v>
      </x:c>
      <x:c r="C162" t="str">
        <x:v>Ordinary latest non-cancelled PO</x:v>
      </x:c>
      <x:c r="D162" s="24" t="n">
        <x:v>5582.63</x:v>
      </x:c>
      <x:c r="E162" t="str">
        <x:v>Yes</x:v>
      </x:c>
    </x:row>
    <x:row r="163">
      <x:c r="A163" t="str">
        <x:v>Heavy Lift Vessel, non-LTSA</x:v>
      </x:c>
      <x:c r="B163" t="str">
        <x:v>HL_PO_046</x:v>
      </x:c>
      <x:c r="C163" t="str">
        <x:v>Ordinary latest non-cancelled PO</x:v>
      </x:c>
      <x:c r="D163" s="24" t="n">
        <x:v>6373.74</x:v>
      </x:c>
      <x:c r="E163" t="str">
        <x:v>Yes</x:v>
      </x:c>
    </x:row>
    <x:row r="164">
      <x:c r="A164" t="str">
        <x:v>Heavy Lift Vessel, non-LTSA</x:v>
      </x:c>
      <x:c r="B164" t="str">
        <x:v>HL_PO_047</x:v>
      </x:c>
      <x:c r="C164" t="str">
        <x:v>Ordinary latest non-cancelled PO</x:v>
      </x:c>
      <x:c r="D164" s="24" t="n">
        <x:v>6424.93</x:v>
      </x:c>
      <x:c r="E164" t="str">
        <x:v>Yes</x:v>
      </x:c>
    </x:row>
    <x:row r="165">
      <x:c r="A165" t="str">
        <x:v>Heavy Lift Vessel, non-LTSA</x:v>
      </x:c>
      <x:c r="B165" t="str">
        <x:v>HL_PO_048</x:v>
      </x:c>
      <x:c r="C165" t="str">
        <x:v>Ordinary latest non-cancelled PO</x:v>
      </x:c>
      <x:c r="D165" s="24" t="n">
        <x:v>6614.85</x:v>
      </x:c>
      <x:c r="E165" t="str">
        <x:v>Yes</x:v>
      </x:c>
    </x:row>
    <x:row r="166">
      <x:c r="A166" t="str">
        <x:v>Heavy Lift Vessel, non-LTSA</x:v>
      </x:c>
      <x:c r="B166" t="str">
        <x:v>HL_PO_049</x:v>
      </x:c>
      <x:c r="C166" t="str">
        <x:v>Ordinary latest non-cancelled PO</x:v>
      </x:c>
      <x:c r="D166" s="24" t="n">
        <x:v>6973.73</x:v>
      </x:c>
      <x:c r="E166" t="str">
        <x:v>Yes</x:v>
      </x:c>
    </x:row>
    <x:row r="167">
      <x:c r="A167" t="str">
        <x:v>Heavy Lift Vessel, non-LTSA</x:v>
      </x:c>
      <x:c r="B167" t="str">
        <x:v>HL_PO_050</x:v>
      </x:c>
      <x:c r="C167" t="str">
        <x:v>Ordinary latest non-cancelled PO</x:v>
      </x:c>
      <x:c r="D167" s="24" t="n">
        <x:v>7866.44</x:v>
      </x:c>
      <x:c r="E167" t="str">
        <x:v>Yes</x:v>
      </x:c>
    </x:row>
    <x:row r="168">
      <x:c r="A168" t="str">
        <x:v>Heavy Lift Vessel, non-LTSA</x:v>
      </x:c>
      <x:c r="B168" t="str">
        <x:v>HL_PO_051</x:v>
      </x:c>
      <x:c r="C168" t="str">
        <x:v>Ordinary latest non-cancelled PO</x:v>
      </x:c>
      <x:c r="D168" s="24" t="n">
        <x:v>8113.79</x:v>
      </x:c>
      <x:c r="E168" t="str">
        <x:v>Yes</x:v>
      </x:c>
    </x:row>
    <x:row r="169">
      <x:c r="A169" t="str">
        <x:v>Heavy Lift Vessel, non-LTSA</x:v>
      </x:c>
      <x:c r="B169" t="str">
        <x:v>HL_PO_052</x:v>
      </x:c>
      <x:c r="C169" t="str">
        <x:v>Ordinary latest non-cancelled PO</x:v>
      </x:c>
      <x:c r="D169" s="24" t="n">
        <x:v>8162.53</x:v>
      </x:c>
      <x:c r="E169" t="str">
        <x:v>Yes</x:v>
      </x:c>
    </x:row>
    <x:row r="170">
      <x:c r="A170" t="str">
        <x:v>Heavy Lift Vessel, non-LTSA</x:v>
      </x:c>
      <x:c r="B170" t="str">
        <x:v>HL_PO_053</x:v>
      </x:c>
      <x:c r="C170" t="str">
        <x:v>Ordinary latest non-cancelled PO</x:v>
      </x:c>
      <x:c r="D170" s="24" t="n">
        <x:v>8278.79</x:v>
      </x:c>
      <x:c r="E170" t="str">
        <x:v>Yes</x:v>
      </x:c>
    </x:row>
    <x:row r="171">
      <x:c r="A171" t="str">
        <x:v>Heavy Lift Vessel, non-LTSA</x:v>
      </x:c>
      <x:c r="B171" t="str">
        <x:v>HL_PO_054</x:v>
      </x:c>
      <x:c r="C171" t="str">
        <x:v>Ordinary latest non-cancelled PO</x:v>
      </x:c>
      <x:c r="D171" s="24" t="n">
        <x:v>8757.45</x:v>
      </x:c>
      <x:c r="E171" t="str">
        <x:v>Yes</x:v>
      </x:c>
    </x:row>
    <x:row r="172">
      <x:c r="A172" t="str">
        <x:v>Heavy Lift Vessel, non-LTSA</x:v>
      </x:c>
      <x:c r="B172" t="str">
        <x:v>HL_PO_055</x:v>
      </x:c>
      <x:c r="C172" t="str">
        <x:v>Ordinary latest non-cancelled PO</x:v>
      </x:c>
      <x:c r="D172" s="24" t="n">
        <x:v>9356.34</x:v>
      </x:c>
      <x:c r="E172" t="str">
        <x:v>Yes</x:v>
      </x:c>
    </x:row>
    <x:row r="173">
      <x:c r="A173" t="str">
        <x:v>Heavy Lift Vessel, non-LTSA</x:v>
      </x:c>
      <x:c r="B173" t="str">
        <x:v>HL_PO_056</x:v>
      </x:c>
      <x:c r="C173" t="str">
        <x:v>Ordinary latest non-cancelled PO</x:v>
      </x:c>
      <x:c r="D173" s="24" t="n">
        <x:v>9535.11</x:v>
      </x:c>
      <x:c r="E173" t="str">
        <x:v>Yes</x:v>
      </x:c>
    </x:row>
    <x:row r="174">
      <x:c r="A174" t="str">
        <x:v>Heavy Lift Vessel, non-LTSA</x:v>
      </x:c>
      <x:c r="B174" t="str">
        <x:v>HL_PO_057</x:v>
      </x:c>
      <x:c r="C174" t="str">
        <x:v>Ordinary latest non-cancelled PO</x:v>
      </x:c>
      <x:c r="D174" s="24" t="n">
        <x:v>9903.98</x:v>
      </x:c>
      <x:c r="E174" t="str">
        <x:v>Yes</x:v>
      </x:c>
    </x:row>
    <x:row r="175">
      <x:c r="A175" t="str">
        <x:v>Heavy Lift Vessel, non-LTSA</x:v>
      </x:c>
      <x:c r="B175" t="str">
        <x:v>HL_PO_058</x:v>
      </x:c>
      <x:c r="C175" t="str">
        <x:v>Ordinary latest non-cancelled PO</x:v>
      </x:c>
      <x:c r="D175" s="24" t="n">
        <x:v>10265.88</x:v>
      </x:c>
      <x:c r="E175" t="str">
        <x:v>Yes</x:v>
      </x:c>
    </x:row>
    <x:row r="176">
      <x:c r="A176" t="str">
        <x:v>Heavy Lift Vessel, non-LTSA</x:v>
      </x:c>
      <x:c r="B176" t="str">
        <x:v>HL_PO_059</x:v>
      </x:c>
      <x:c r="C176" t="str">
        <x:v>Ordinary latest non-cancelled PO</x:v>
      </x:c>
      <x:c r="D176" s="24" t="n">
        <x:v>13047.47</x:v>
      </x:c>
      <x:c r="E176" t="str">
        <x:v>Yes</x:v>
      </x:c>
    </x:row>
    <x:row r="177">
      <x:c r="A177" t="str">
        <x:v>Heavy Lift Vessel, non-LTSA</x:v>
      </x:c>
      <x:c r="B177" t="str">
        <x:v>HL_PO_060</x:v>
      </x:c>
      <x:c r="C177" t="str">
        <x:v>Ordinary latest non-cancelled PO</x:v>
      </x:c>
      <x:c r="D177" s="24" t="n">
        <x:v>13463.84</x:v>
      </x:c>
      <x:c r="E177" t="str">
        <x:v>Yes</x:v>
      </x:c>
    </x:row>
    <x:row r="178">
      <x:c r="A178" t="str">
        <x:v>Heavy Lift Vessel, non-LTSA</x:v>
      </x:c>
      <x:c r="B178" t="str">
        <x:v>HL_PO_061</x:v>
      </x:c>
      <x:c r="C178" t="str">
        <x:v>Ordinary latest non-cancelled PO</x:v>
      </x:c>
      <x:c r="D178" s="24" t="n">
        <x:v>14451.16</x:v>
      </x:c>
      <x:c r="E178" t="str">
        <x:v>Yes</x:v>
      </x:c>
    </x:row>
    <x:row r="179">
      <x:c r="A179" t="str">
        <x:v>Heavy Lift Vessel, non-LTSA</x:v>
      </x:c>
      <x:c r="B179" t="str">
        <x:v>HL_PO_062</x:v>
      </x:c>
      <x:c r="C179" t="str">
        <x:v>Ordinary latest non-cancelled PO</x:v>
      </x:c>
      <x:c r="D179" s="24" t="n">
        <x:v>16367.66</x:v>
      </x:c>
      <x:c r="E179" t="str">
        <x:v>Yes</x:v>
      </x:c>
    </x:row>
    <x:row r="180">
      <x:c r="A180" t="str">
        <x:v>Heavy Lift Vessel, non-LTSA</x:v>
      </x:c>
      <x:c r="B180" t="str">
        <x:v>HL_PO_063</x:v>
      </x:c>
      <x:c r="C180" t="str">
        <x:v>Ordinary latest non-cancelled PO</x:v>
      </x:c>
      <x:c r="D180" s="24" t="n">
        <x:v>18254.47</x:v>
      </x:c>
      <x:c r="E180" t="str">
        <x:v>Yes</x:v>
      </x:c>
    </x:row>
    <x:row r="181">
      <x:c r="A181" t="str">
        <x:v>Heavy Lift Vessel, non-LTSA</x:v>
      </x:c>
      <x:c r="B181" t="str">
        <x:v>HL_PO_064</x:v>
      </x:c>
      <x:c r="C181" t="str">
        <x:v>Ordinary latest non-cancelled PO</x:v>
      </x:c>
      <x:c r="D181" s="24" t="n">
        <x:v>18564.7</x:v>
      </x:c>
      <x:c r="E181" t="str">
        <x:v>Yes</x:v>
      </x:c>
    </x:row>
    <x:row r="182">
      <x:c r="A182" t="str">
        <x:v>Heavy Lift Vessel, non-LTSA</x:v>
      </x:c>
      <x:c r="B182" t="str">
        <x:v>HL_PO_065</x:v>
      </x:c>
      <x:c r="C182" t="str">
        <x:v>Ordinary latest non-cancelled PO</x:v>
      </x:c>
      <x:c r="D182" s="24" t="n">
        <x:v>22153.86</x:v>
      </x:c>
      <x:c r="E182" t="str">
        <x:v>Yes</x:v>
      </x:c>
    </x:row>
    <x:row r="183">
      <x:c r="A183" t="str">
        <x:v>Heavy Lift Vessel, non-LTSA</x:v>
      </x:c>
      <x:c r="B183" t="str">
        <x:v>HL_PO_066</x:v>
      </x:c>
      <x:c r="C183" t="str">
        <x:v>Ordinary latest non-cancelled PO</x:v>
      </x:c>
      <x:c r="D183" s="24" t="n">
        <x:v>23413.45</x:v>
      </x:c>
      <x:c r="E183" t="str">
        <x:v>Yes</x:v>
      </x:c>
    </x:row>
    <x:row r="184">
      <x:c r="A184" t="str">
        <x:v>Heavy Lift Vessel, non-LTSA</x:v>
      </x:c>
      <x:c r="B184" t="str">
        <x:v>HL_PO_067</x:v>
      </x:c>
      <x:c r="C184" t="str">
        <x:v>Ordinary latest non-cancelled PO</x:v>
      </x:c>
      <x:c r="D184" s="24" t="n">
        <x:v>30745.12</x:v>
      </x:c>
      <x:c r="E184" t="str">
        <x:v>Yes</x:v>
      </x:c>
    </x:row>
    <x:row r="185">
      <x:c r="A185" t="str">
        <x:v>Heavy Lift Vessel, non-LTSA</x:v>
      </x:c>
      <x:c r="B185" t="str">
        <x:v>HL_PO_068</x:v>
      </x:c>
      <x:c r="C185" t="str">
        <x:v>Ordinary latest non-cancelled PO</x:v>
      </x:c>
      <x:c r="D185" s="24" t="n">
        <x:v>36190.62</x:v>
      </x:c>
      <x:c r="E185" t="str">
        <x:v>Yes</x:v>
      </x:c>
    </x:row>
    <x:row r="186">
      <x:c r="A186" t="str">
        <x:v>Heavy Lift Vessel, non-LTSA</x:v>
      </x:c>
      <x:c r="B186" t="str">
        <x:v>HL_PO_069</x:v>
      </x:c>
      <x:c r="C186" t="str">
        <x:v>Ordinary latest non-cancelled PO</x:v>
      </x:c>
      <x:c r="D186" s="24" t="n">
        <x:v>50831.46</x:v>
      </x:c>
      <x:c r="E18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20d771fa4e742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28" hidden="0" customWidth="1"/>
    <x:col min="4" max="4" width="62" hidden="0" customWidth="1"/>
  </x:cols>
  <x:sheetData>
    <x:row r="1">
      <x:c r="A1" s="30" t="str">
        <x:v>Purchase-Order Summary and Exposure Checks</x:v>
      </x:c>
      <x:c r="B1" s="30"/>
      <x:c r="C1" s="30"/>
      <x:c r="D1" s="30"/>
      <x:c r="E1" s="30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Indicator</x:v>
      </x:c>
      <x:c r="B3" s="15" t="str">
        <x:v>Passenger Vessel, LTSA</x:v>
      </x:c>
      <x:c r="C3" s="15" t="str">
        <x:v>Heavy Lift Vessel, non-LTSA</x:v>
      </x:c>
      <x:c r="D3" s="15" t="str">
        <x:v>Formula / Comment</x:v>
      </x:c>
    </x:row>
    <x:row r="4">
      <x:c r="A4" t="str">
        <x:v>Purchase-order rows</x:v>
      </x:c>
      <x:c r="B4" s="22" t="n">
        <x:v>134</x:v>
      </x:c>
      <x:c r="C4" s="22" t="n">
        <x:v>83</x:v>
      </x:c>
      <x:c r="D4" t="str">
        <x:v>Raw uploaded purchase-order row count</x:v>
      </x:c>
    </x:row>
    <x:row r="5">
      <x:c r="A5" t="str">
        <x:v>Raw PO Invoice Amt total, USD</x:v>
      </x:c>
      <x:c r="B5" s="22" t="n">
        <x:v>2158352.7</x:v>
      </x:c>
      <x:c r="C5" s="22" t="n">
        <x:v>533989.15</x:v>
      </x:c>
      <x:c r="D5" t="str">
        <x:v>Audit only; thesis uses Order Total (Base Curr) as exposure indicator</x:v>
      </x:c>
    </x:row>
    <x:row r="6">
      <x:c r="A6" t="str">
        <x:v>Raw Order Total (Base Curr), all rows, USD</x:v>
      </x:c>
      <x:c r="B6" s="22" t="n">
        <x:v>2876283.02</x:v>
      </x:c>
      <x:c r="C6" s="22" t="n">
        <x:v>612135.39</x:v>
      </x:c>
      <x:c r="D6" t="str">
        <x:v>Audit only; includes cancelled rows</x:v>
      </x:c>
    </x:row>
    <x:row r="7">
      <x:c r="A7" t="str">
        <x:v>Cancelled PO rows excluded</x:v>
      </x:c>
      <x:c r="B7" s="22" t="n">
        <x:v>14</x:v>
      </x:c>
      <x:c r="C7" s="22" t="n">
        <x:v>9</x:v>
      </x:c>
      <x:c r="D7" t="str">
        <x:v>Cancelled rows excluded from corrected exposure</x:v>
      </x:c>
    </x:row>
    <x:row r="8">
      <x:c r="A8" t="str">
        <x:v>Cancelled Order Total excluded, USD</x:v>
      </x:c>
      <x:c r="B8" s="22" t="n">
        <x:v>650592.77</x:v>
      </x:c>
      <x:c r="C8" s="22" t="n">
        <x:v>82086.53</x:v>
      </x:c>
      <x:c r="D8" t="str">
        <x:v>Audit only</x:v>
      </x:c>
    </x:row>
    <x:row r="9">
      <x:c r="A9" t="str">
        <x:v>Ordinary latest-version non-cancelled POs</x:v>
      </x:c>
      <x:c r="B9" s="22" t="n">
        <x:f>COUNTIFS(PO_Cleaned_Events!$A$2:$A$186,"Passenger Vessel, LTSA",PO_Cleaned_Events!$C$2:$C$186,"Ordinary latest non-cancelled PO")</x:f>
        <x:v>50</x:v>
      </x:c>
      <x:c r="C9" s="22" t="n">
        <x:f>COUNTIFS(PO_Cleaned_Events!$A$2:$A$186,"Heavy Lift Vessel, non-LTSA",PO_Cleaned_Events!$C$2:$C$186,"Ordinary latest non-cancelled PO")</x:f>
        <x:v>69</x:v>
      </x:c>
      <x:c r="D9" t="str">
        <x:v>COUNTIFS from PO_Cleaned_Events</x:v>
      </x:c>
    </x:row>
    <x:row r="10">
      <x:c r="A10" t="str">
        <x:v>Recurring agreement-related entries retained separately</x:v>
      </x:c>
      <x:c r="B10" s="22" t="n">
        <x:f>COUNTIFS(PO_Cleaned_Events!$A$2:$A$186,"Passenger Vessel, LTSA",PO_Cleaned_Events!$C$2:$C$186,"Recurring agreement exposure")+COUNTIFS(PO_Cleaned_Events!$A$2:$A$186,"Passenger Vessel, LTSA",PO_Cleaned_Events!$C$2:$C$186,"Long-lead agreement exposure")</x:f>
        <x:v>66</x:v>
      </x:c>
      <x:c r="C10" s="22" t="n">
        <x:f>COUNTIFS(PO_Cleaned_Events!$A$2:$A$186,"Heavy Lift Vessel, non-LTSA",PO_Cleaned_Events!$C$2:$C$186,"Recurring agreement exposure")+COUNTIFS(PO_Cleaned_Events!$A$2:$A$186,"Heavy Lift Vessel, non-LTSA",PO_Cleaned_Events!$C$2:$C$186,"Long-lead agreement exposure")</x:f>
        <x:v>0</x:v>
      </x:c>
      <x:c r="D10" t="str">
        <x:v>Recurring + long-lead agreement events</x:v>
      </x:c>
    </x:row>
    <x:row r="11">
      <x:c r="A11" t="str">
        <x:v>Recurring agreement exposure, USD</x:v>
      </x:c>
      <x:c r="B11" s="22" t="n">
        <x:f>SUMIFS(PO_Cleaned_Events!$D$2:$D$186,PO_Cleaned_Events!$A$2:$A$186,"Passenger Vessel, LTSA",PO_Cleaned_Events!$C$2:$C$186,"Recurring agreement exposure")</x:f>
        <x:v>1359948.51</x:v>
      </x:c>
      <x:c r="C11" s="22" t="str">
        <x:f>"Not applicable"</x:f>
        <x:v>Not applicable</x:v>
      </x:c>
      <x:c r="D11" t="str">
        <x:v>Anonymized replacement for LTSA monthly/running-hour exposure</x:v>
      </x:c>
    </x:row>
    <x:row r="12">
      <x:c r="A12" t="str">
        <x:v>Long-lead agreement exposure, USD</x:v>
      </x:c>
      <x:c r="B12" s="22" t="n">
        <x:f>SUMIFS(PO_Cleaned_Events!$D$2:$D$186,PO_Cleaned_Events!$A$2:$A$186,"Passenger Vessel, LTSA",PO_Cleaned_Events!$C$2:$C$186,"Long-lead agreement exposure")</x:f>
        <x:v>58332.23999999996</x:v>
      </x:c>
      <x:c r="C12" s="22" t="str">
        <x:f>"Not applicable"</x:f>
        <x:v>Not applicable</x:v>
      </x:c>
      <x:c r="D12" t="str">
        <x:v>Commercial agreement names removed for anonymity</x:v>
      </x:c>
    </x:row>
    <x:row r="13">
      <x:c r="A13" t="str">
        <x:v>Ordinary purchase-order exposure, USD</x:v>
      </x:c>
      <x:c r="B13" s="22" t="n">
        <x:f>SUMIFS(PO_Cleaned_Events!$D$2:$D$186,PO_Cleaned_Events!$A$2:$A$186,"Passenger Vessel, LTSA",PO_Cleaned_Events!$C$2:$C$186,"Ordinary latest non-cancelled PO")</x:f>
        <x:v>755946.9699999999</x:v>
      </x:c>
      <x:c r="C13" s="22" t="n">
        <x:f>SUMIFS(PO_Cleaned_Events!$D$2:$D$186,PO_Cleaned_Events!$A$2:$A$186,"Heavy Lift Vessel, non-LTSA",PO_Cleaned_Events!$C$2:$C$186,"Ordinary latest non-cancelled PO")</x:f>
        <x:v>454868.63000000006</x:v>
      </x:c>
      <x:c r="D13" t="str">
        <x:v>SUMIFS from PO_Cleaned_Events</x:v>
      </x:c>
    </x:row>
    <x:row r="14">
      <x:c r="A14" t="str">
        <x:v>Corrected purchase-order exposure indicator, USD</x:v>
      </x:c>
      <x:c r="B14" s="22" t="n">
        <x:f>SUMIFS(PO_Cleaned_Events!$D$2:$D$186,PO_Cleaned_Events!$A$2:$A$186,"Passenger Vessel, LTSA")</x:f>
        <x:v>2174227.72</x:v>
      </x:c>
      <x:c r="C14" s="22" t="n">
        <x:f>SUMIFS(PO_Cleaned_Events!$D$2:$D$186,PO_Cleaned_Events!$A$2:$A$186,"Heavy Lift Vessel, non-LTSA")</x:f>
        <x:v>454868.63000000006</x:v>
      </x:c>
      <x:c r="D14" t="str">
        <x:v>Ordinary + recurring + long-lead included event values</x:v>
      </x:c>
    </x:row>
    <x:row r="15">
      <x:c r="A15" t="str">
        <x:v>Mean corrected purchase-order event value, USD</x:v>
      </x:c>
      <x:c r="B15" s="22" t="n">
        <x:f>AVERAGEIFS(PO_Cleaned_Events!$D$2:$D$186,PO_Cleaned_Events!$A$2:$A$186,"Passenger Vessel, LTSA")</x:f>
        <x:v>18743.342413793107</x:v>
      </x:c>
      <x:c r="C15" s="22" t="n">
        <x:f>AVERAGEIFS(PO_Cleaned_Events!$D$2:$D$186,PO_Cleaned_Events!$A$2:$A$186,"Heavy Lift Vessel, non-LTSA")</x:f>
        <x:v>6592.298985507247</x:v>
      </x:c>
      <x:c r="D15" t="str">
        <x:v>AVERAGEIFS from included event values</x:v>
      </x:c>
    </x:row>
    <x:row r="16">
      <x:c r="A16" t="str">
        <x:v>Standard deviation of corrected event value, USD</x:v>
      </x:c>
      <x:c r="B16" s="22" t="n">
        <x:v>22204.153165118638</x:v>
      </x:c>
      <x:c r="C16" s="22" t="n">
        <x:v>9045.918118882022</x:v>
      </x:c>
      <x:c r="D16" t="str">
        <x:v>Calculated from included event values; shown as value for compatibility</x:v>
      </x:c>
    </x:row>
    <x:row r="17">
      <x:c r="A17" t="str">
        <x:v>Coefficient of variation</x:v>
      </x:c>
      <x:c r="B17" s="20" t="n">
        <x:f>B16/B15</x:f>
        <x:v>1.1846421345201879</x:v>
      </x:c>
      <x:c r="C17" s="20" t="n">
        <x:f>C16/C15</x:f>
        <x:v>1.3721947591832382</x:v>
      </x:c>
      <x:c r="D17" t="str">
        <x:v>= Standard deviation / mean event value</x:v>
      </x:c>
    </x:row>
    <x:row r="18">
      <x:c r="A18" t="str">
        <x:v>Top-five purchase-order concentration</x:v>
      </x:c>
      <x:c r="B18" s="20" t="n">
        <x:v>0.20742200821540438</x:v>
      </x:c>
      <x:c r="C18" s="20" t="n">
        <x:v>0.3590806207058069</x:v>
      </x:c>
      <x:c r="D18" t="str">
        <x:v>Top five included event values / corrected exposure</x:v>
      </x:c>
    </x:row>
    <x:row r="19">
      <x:c r="A19" t="str">
        <x:v>Corrected procurement exposure ratio</x:v>
      </x:c>
      <x:c r="B19" s="26" t="n">
        <x:f>B14/C14</x:f>
        <x:v>4.779902540212544</x:v>
      </x:c>
      <x:c r="C19" s="26" t="str">
        <x:f>""</x:f>
      </x:c>
      <x:c r="D19" t="str">
        <x:v>= Passenger corrected exposure / Heavy Lift corrected exposure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2884356b3f24a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4" t="str">
        <x:v>Case</x:v>
      </x:c>
      <x:c r="B1" s="34" t="str">
        <x:v>Part_ID</x:v>
      </x:c>
      <x:c r="C1" s="34" t="str">
        <x:v>Stock_Quantity</x:v>
      </x:c>
      <x:c r="D1" s="34" t="str">
        <x:v>Average_Price_USD</x:v>
      </x:c>
      <x:c r="E1" s="34" t="str">
        <x:v>Stock_Value_USD</x:v>
      </x:c>
      <x:c r="F1" s="34" t="str">
        <x:v>Stock_Above_Zero</x:v>
      </x:c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Passenger Vessel, LTSA</x:v>
      </x:c>
      <x:c r="B2" t="str">
        <x:v>PV_SP_001</x:v>
      </x:c>
      <x:c r="C2" s="22" t="n">
        <x:v>0</x:v>
      </x:c>
      <x:c r="D2" s="22" t="n">
        <x:v>9631.34</x:v>
      </x:c>
      <x:c r="E2" s="22" t="n">
        <x:f>C2*D2</x:f>
        <x:v>0</x:v>
      </x:c>
      <x:c r="F2" t="str">
        <x:v>No</x:v>
      </x:c>
    </x:row>
    <x:row r="3">
      <x:c r="A3" t="str">
        <x:v>Passenger Vessel, LTSA</x:v>
      </x:c>
      <x:c r="B3" t="str">
        <x:v>PV_SP_002</x:v>
      </x:c>
      <x:c r="C3" s="22" t="n">
        <x:v>2</x:v>
      </x:c>
      <x:c r="D3" s="22" t="n">
        <x:v>210.1654</x:v>
      </x:c>
      <x:c r="E3" s="22" t="n">
        <x:f>C3*D3</x:f>
        <x:v>420.3308</x:v>
      </x:c>
      <x:c r="F3" t="str">
        <x:v>Yes</x:v>
      </x:c>
    </x:row>
    <x:row r="4">
      <x:c r="A4" t="str">
        <x:v>Passenger Vessel, LTSA</x:v>
      </x:c>
      <x:c r="B4" t="str">
        <x:v>PV_SP_003</x:v>
      </x:c>
      <x:c r="C4" s="22" t="n">
        <x:v>0</x:v>
      </x:c>
      <x:c r="D4" s="22" t="n">
        <x:v>0</x:v>
      </x:c>
      <x:c r="E4" s="22" t="n">
        <x:f>C4*D4</x:f>
        <x:v>0</x:v>
      </x:c>
      <x:c r="F4" t="str">
        <x:v>No</x:v>
      </x:c>
    </x:row>
    <x:row r="5">
      <x:c r="A5" t="str">
        <x:v>Passenger Vessel, LTSA</x:v>
      </x:c>
      <x:c r="B5" t="str">
        <x:v>PV_SP_004</x:v>
      </x:c>
      <x:c r="C5" s="22" t="n">
        <x:v>0</x:v>
      </x:c>
      <x:c r="D5" s="22" t="n">
        <x:v>0</x:v>
      </x:c>
      <x:c r="E5" s="22" t="n">
        <x:f>C5*D5</x:f>
        <x:v>0</x:v>
      </x:c>
      <x:c r="F5" t="str">
        <x:v>No</x:v>
      </x:c>
    </x:row>
    <x:row r="6">
      <x:c r="A6" t="str">
        <x:v>Passenger Vessel, LTSA</x:v>
      </x:c>
      <x:c r="B6" t="str">
        <x:v>PV_SP_005</x:v>
      </x:c>
      <x:c r="C6" s="22" t="n">
        <x:v>0</x:v>
      </x:c>
      <x:c r="D6" s="22" t="n">
        <x:v>0</x:v>
      </x:c>
      <x:c r="E6" s="22" t="n">
        <x:f>C6*D6</x:f>
        <x:v>0</x:v>
      </x:c>
      <x:c r="F6" t="str">
        <x:v>No</x:v>
      </x:c>
    </x:row>
    <x:row r="7">
      <x:c r="A7" t="str">
        <x:v>Passenger Vessel, LTSA</x:v>
      </x:c>
      <x:c r="B7" t="str">
        <x:v>PV_SP_006</x:v>
      </x:c>
      <x:c r="C7" s="22" t="n">
        <x:v>0</x:v>
      </x:c>
      <x:c r="D7" s="22" t="n">
        <x:v>0</x:v>
      </x:c>
      <x:c r="E7" s="22" t="n">
        <x:f>C7*D7</x:f>
        <x:v>0</x:v>
      </x:c>
      <x:c r="F7" t="str">
        <x:v>No</x:v>
      </x:c>
    </x:row>
    <x:row r="8">
      <x:c r="A8" t="str">
        <x:v>Passenger Vessel, LTSA</x:v>
      </x:c>
      <x:c r="B8" t="str">
        <x:v>PV_SP_007</x:v>
      </x:c>
      <x:c r="C8" s="22" t="n">
        <x:v>0</x:v>
      </x:c>
      <x:c r="D8" s="22" t="n">
        <x:v>0</x:v>
      </x:c>
      <x:c r="E8" s="22" t="n">
        <x:f>C8*D8</x:f>
        <x:v>0</x:v>
      </x:c>
      <x:c r="F8" t="str">
        <x:v>No</x:v>
      </x:c>
    </x:row>
    <x:row r="9">
      <x:c r="A9" t="str">
        <x:v>Passenger Vessel, LTSA</x:v>
      </x:c>
      <x:c r="B9" t="str">
        <x:v>PV_SP_008</x:v>
      </x:c>
      <x:c r="C9" s="22" t="n">
        <x:v>0</x:v>
      </x:c>
      <x:c r="D9" s="22" t="n">
        <x:v>0</x:v>
      </x:c>
      <x:c r="E9" s="22" t="n">
        <x:f>C9*D9</x:f>
        <x:v>0</x:v>
      </x:c>
      <x:c r="F9" t="str">
        <x:v>No</x:v>
      </x:c>
    </x:row>
    <x:row r="10">
      <x:c r="A10" t="str">
        <x:v>Passenger Vessel, LTSA</x:v>
      </x:c>
      <x:c r="B10" t="str">
        <x:v>PV_SP_009</x:v>
      </x:c>
      <x:c r="C10" s="22" t="n">
        <x:v>0</x:v>
      </x:c>
      <x:c r="D10" s="22" t="n">
        <x:v>0</x:v>
      </x:c>
      <x:c r="E10" s="22" t="n">
        <x:f>C10*D10</x:f>
        <x:v>0</x:v>
      </x:c>
      <x:c r="F10" t="str">
        <x:v>No</x:v>
      </x:c>
    </x:row>
    <x:row r="11">
      <x:c r="A11" t="str">
        <x:v>Passenger Vessel, LTSA</x:v>
      </x:c>
      <x:c r="B11" t="str">
        <x:v>PV_SP_010</x:v>
      </x:c>
      <x:c r="C11" s="22" t="n">
        <x:v>0</x:v>
      </x:c>
      <x:c r="D11" s="22" t="n">
        <x:v>0</x:v>
      </x:c>
      <x:c r="E11" s="22" t="n">
        <x:f>C11*D11</x:f>
        <x:v>0</x:v>
      </x:c>
      <x:c r="F11" t="str">
        <x:v>No</x:v>
      </x:c>
    </x:row>
    <x:row r="12">
      <x:c r="A12" t="str">
        <x:v>Passenger Vessel, LTSA</x:v>
      </x:c>
      <x:c r="B12" t="str">
        <x:v>PV_SP_011</x:v>
      </x:c>
      <x:c r="C12" s="22" t="n">
        <x:v>0</x:v>
      </x:c>
      <x:c r="D12" s="22" t="n">
        <x:v>0</x:v>
      </x:c>
      <x:c r="E12" s="22" t="n">
        <x:f>C12*D12</x:f>
        <x:v>0</x:v>
      </x:c>
      <x:c r="F12" t="str">
        <x:v>No</x:v>
      </x:c>
    </x:row>
    <x:row r="13">
      <x:c r="A13" t="str">
        <x:v>Passenger Vessel, LTSA</x:v>
      </x:c>
      <x:c r="B13" t="str">
        <x:v>PV_SP_012</x:v>
      </x:c>
      <x:c r="C13" s="22" t="n">
        <x:v>0</x:v>
      </x:c>
      <x:c r="D13" s="22" t="n">
        <x:v>0</x:v>
      </x:c>
      <x:c r="E13" s="22" t="n">
        <x:f>C13*D13</x:f>
        <x:v>0</x:v>
      </x:c>
      <x:c r="F13" t="str">
        <x:v>No</x:v>
      </x:c>
    </x:row>
    <x:row r="14">
      <x:c r="A14" t="str">
        <x:v>Passenger Vessel, LTSA</x:v>
      </x:c>
      <x:c r="B14" t="str">
        <x:v>PV_SP_013</x:v>
      </x:c>
      <x:c r="C14" s="22" t="n">
        <x:v>0</x:v>
      </x:c>
      <x:c r="D14" s="22" t="n">
        <x:v>0</x:v>
      </x:c>
      <x:c r="E14" s="22" t="n">
        <x:f>C14*D14</x:f>
        <x:v>0</x:v>
      </x:c>
      <x:c r="F14" t="str">
        <x:v>No</x:v>
      </x:c>
    </x:row>
    <x:row r="15">
      <x:c r="A15" t="str">
        <x:v>Passenger Vessel, LTSA</x:v>
      </x:c>
      <x:c r="B15" t="str">
        <x:v>PV_SP_014</x:v>
      </x:c>
      <x:c r="C15" s="22" t="n">
        <x:v>0</x:v>
      </x:c>
      <x:c r="D15" s="22" t="n">
        <x:v>0</x:v>
      </x:c>
      <x:c r="E15" s="22" t="n">
        <x:f>C15*D15</x:f>
        <x:v>0</x:v>
      </x:c>
      <x:c r="F15" t="str">
        <x:v>No</x:v>
      </x:c>
    </x:row>
    <x:row r="16">
      <x:c r="A16" t="str">
        <x:v>Passenger Vessel, LTSA</x:v>
      </x:c>
      <x:c r="B16" t="str">
        <x:v>PV_SP_015</x:v>
      </x:c>
      <x:c r="C16" s="22" t="n">
        <x:v>0</x:v>
      </x:c>
      <x:c r="D16" s="22" t="n">
        <x:v>0</x:v>
      </x:c>
      <x:c r="E16" s="22" t="n">
        <x:f>C16*D16</x:f>
        <x:v>0</x:v>
      </x:c>
      <x:c r="F16" t="str">
        <x:v>No</x:v>
      </x:c>
    </x:row>
    <x:row r="17">
      <x:c r="A17" t="str">
        <x:v>Passenger Vessel, LTSA</x:v>
      </x:c>
      <x:c r="B17" t="str">
        <x:v>PV_SP_016</x:v>
      </x:c>
      <x:c r="C17" s="22" t="n">
        <x:v>0</x:v>
      </x:c>
      <x:c r="D17" s="22" t="n">
        <x:v>0</x:v>
      </x:c>
      <x:c r="E17" s="22" t="n">
        <x:f>C17*D17</x:f>
        <x:v>0</x:v>
      </x:c>
      <x:c r="F17" t="str">
        <x:v>No</x:v>
      </x:c>
    </x:row>
    <x:row r="18">
      <x:c r="A18" t="str">
        <x:v>Passenger Vessel, LTSA</x:v>
      </x:c>
      <x:c r="B18" t="str">
        <x:v>PV_SP_017</x:v>
      </x:c>
      <x:c r="C18" s="22" t="n">
        <x:v>0</x:v>
      </x:c>
      <x:c r="D18" s="22" t="n">
        <x:v>0</x:v>
      </x:c>
      <x:c r="E18" s="22" t="n">
        <x:f>C18*D18</x:f>
        <x:v>0</x:v>
      </x:c>
      <x:c r="F18" t="str">
        <x:v>No</x:v>
      </x:c>
    </x:row>
    <x:row r="19">
      <x:c r="A19" t="str">
        <x:v>Passenger Vessel, LTSA</x:v>
      </x:c>
      <x:c r="B19" t="str">
        <x:v>PV_SP_018</x:v>
      </x:c>
      <x:c r="C19" s="22" t="n">
        <x:v>0</x:v>
      </x:c>
      <x:c r="D19" s="22" t="n">
        <x:v>0</x:v>
      </x:c>
      <x:c r="E19" s="22" t="n">
        <x:f>C19*D19</x:f>
        <x:v>0</x:v>
      </x:c>
      <x:c r="F19" t="str">
        <x:v>No</x:v>
      </x:c>
    </x:row>
    <x:row r="20">
      <x:c r="A20" t="str">
        <x:v>Passenger Vessel, LTSA</x:v>
      </x:c>
      <x:c r="B20" t="str">
        <x:v>PV_SP_019</x:v>
      </x:c>
      <x:c r="C20" s="22" t="n">
        <x:v>0</x:v>
      </x:c>
      <x:c r="D20" s="22" t="n">
        <x:v>0</x:v>
      </x:c>
      <x:c r="E20" s="22" t="n">
        <x:f>C20*D20</x:f>
        <x:v>0</x:v>
      </x:c>
      <x:c r="F20" t="str">
        <x:v>No</x:v>
      </x:c>
    </x:row>
    <x:row r="21">
      <x:c r="A21" t="str">
        <x:v>Passenger Vessel, LTSA</x:v>
      </x:c>
      <x:c r="B21" t="str">
        <x:v>PV_SP_020</x:v>
      </x:c>
      <x:c r="C21" s="22" t="n">
        <x:v>0</x:v>
      </x:c>
      <x:c r="D21" s="22" t="n">
        <x:v>0</x:v>
      </x:c>
      <x:c r="E21" s="22" t="n">
        <x:f>C21*D21</x:f>
        <x:v>0</x:v>
      </x:c>
      <x:c r="F21" t="str">
        <x:v>No</x:v>
      </x:c>
    </x:row>
    <x:row r="22">
      <x:c r="A22" t="str">
        <x:v>Passenger Vessel, LTSA</x:v>
      </x:c>
      <x:c r="B22" t="str">
        <x:v>PV_SP_021</x:v>
      </x:c>
      <x:c r="C22" s="22" t="n">
        <x:v>0</x:v>
      </x:c>
      <x:c r="D22" s="22" t="n">
        <x:v>0</x:v>
      </x:c>
      <x:c r="E22" s="22" t="n">
        <x:f>C22*D22</x:f>
        <x:v>0</x:v>
      </x:c>
      <x:c r="F22" t="str">
        <x:v>No</x:v>
      </x:c>
    </x:row>
    <x:row r="23">
      <x:c r="A23" t="str">
        <x:v>Passenger Vessel, LTSA</x:v>
      </x:c>
      <x:c r="B23" t="str">
        <x:v>PV_SP_022</x:v>
      </x:c>
      <x:c r="C23" s="22" t="n">
        <x:v>0</x:v>
      </x:c>
      <x:c r="D23" s="22" t="n">
        <x:v>0</x:v>
      </x:c>
      <x:c r="E23" s="22" t="n">
        <x:f>C23*D23</x:f>
        <x:v>0</x:v>
      </x:c>
      <x:c r="F23" t="str">
        <x:v>No</x:v>
      </x:c>
    </x:row>
    <x:row r="24">
      <x:c r="A24" t="str">
        <x:v>Passenger Vessel, LTSA</x:v>
      </x:c>
      <x:c r="B24" t="str">
        <x:v>PV_SP_023</x:v>
      </x:c>
      <x:c r="C24" s="22" t="n">
        <x:v>0</x:v>
      </x:c>
      <x:c r="D24" s="22" t="n">
        <x:v>0</x:v>
      </x:c>
      <x:c r="E24" s="22" t="n">
        <x:f>C24*D24</x:f>
        <x:v>0</x:v>
      </x:c>
      <x:c r="F24" t="str">
        <x:v>No</x:v>
      </x:c>
    </x:row>
    <x:row r="25">
      <x:c r="A25" t="str">
        <x:v>Passenger Vessel, LTSA</x:v>
      </x:c>
      <x:c r="B25" t="str">
        <x:v>PV_SP_024</x:v>
      </x:c>
      <x:c r="C25" s="22" t="n">
        <x:v>0</x:v>
      </x:c>
      <x:c r="D25" s="22" t="n">
        <x:v>0</x:v>
      </x:c>
      <x:c r="E25" s="22" t="n">
        <x:f>C25*D25</x:f>
        <x:v>0</x:v>
      </x:c>
      <x:c r="F25" t="str">
        <x:v>No</x:v>
      </x:c>
    </x:row>
    <x:row r="26">
      <x:c r="A26" t="str">
        <x:v>Passenger Vessel, LTSA</x:v>
      </x:c>
      <x:c r="B26" t="str">
        <x:v>PV_SP_025</x:v>
      </x:c>
      <x:c r="C26" s="22" t="n">
        <x:v>0</x:v>
      </x:c>
      <x:c r="D26" s="22" t="n">
        <x:v>0</x:v>
      </x:c>
      <x:c r="E26" s="22" t="n">
        <x:f>C26*D26</x:f>
        <x:v>0</x:v>
      </x:c>
      <x:c r="F26" t="str">
        <x:v>No</x:v>
      </x:c>
    </x:row>
    <x:row r="27">
      <x:c r="A27" t="str">
        <x:v>Passenger Vessel, LTSA</x:v>
      </x:c>
      <x:c r="B27" t="str">
        <x:v>PV_SP_026</x:v>
      </x:c>
      <x:c r="C27" s="22" t="n">
        <x:v>0</x:v>
      </x:c>
      <x:c r="D27" s="22" t="n">
        <x:v>0</x:v>
      </x:c>
      <x:c r="E27" s="22" t="n">
        <x:f>C27*D27</x:f>
        <x:v>0</x:v>
      </x:c>
      <x:c r="F27" t="str">
        <x:v>No</x:v>
      </x:c>
    </x:row>
    <x:row r="28">
      <x:c r="A28" t="str">
        <x:v>Passenger Vessel, LTSA</x:v>
      </x:c>
      <x:c r="B28" t="str">
        <x:v>PV_SP_027</x:v>
      </x:c>
      <x:c r="C28" s="22" t="n">
        <x:v>0</x:v>
      </x:c>
      <x:c r="D28" s="22" t="n">
        <x:v>0</x:v>
      </x:c>
      <x:c r="E28" s="22" t="n">
        <x:f>C28*D28</x:f>
        <x:v>0</x:v>
      </x:c>
      <x:c r="F28" t="str">
        <x:v>No</x:v>
      </x:c>
    </x:row>
    <x:row r="29">
      <x:c r="A29" t="str">
        <x:v>Passenger Vessel, LTSA</x:v>
      </x:c>
      <x:c r="B29" t="str">
        <x:v>PV_SP_028</x:v>
      </x:c>
      <x:c r="C29" s="22" t="n">
        <x:v>0</x:v>
      </x:c>
      <x:c r="D29" s="22" t="n">
        <x:v>0</x:v>
      </x:c>
      <x:c r="E29" s="22" t="n">
        <x:f>C29*D29</x:f>
        <x:v>0</x:v>
      </x:c>
      <x:c r="F29" t="str">
        <x:v>No</x:v>
      </x:c>
    </x:row>
    <x:row r="30">
      <x:c r="A30" t="str">
        <x:v>Passenger Vessel, LTSA</x:v>
      </x:c>
      <x:c r="B30" t="str">
        <x:v>PV_SP_029</x:v>
      </x:c>
      <x:c r="C30" s="22" t="n">
        <x:v>0</x:v>
      </x:c>
      <x:c r="D30" s="22" t="n">
        <x:v>0</x:v>
      </x:c>
      <x:c r="E30" s="22" t="n">
        <x:f>C30*D30</x:f>
        <x:v>0</x:v>
      </x:c>
      <x:c r="F30" t="str">
        <x:v>No</x:v>
      </x:c>
    </x:row>
    <x:row r="31">
      <x:c r="A31" t="str">
        <x:v>Passenger Vessel, LTSA</x:v>
      </x:c>
      <x:c r="B31" t="str">
        <x:v>PV_SP_030</x:v>
      </x:c>
      <x:c r="C31" s="22" t="n">
        <x:v>0</x:v>
      </x:c>
      <x:c r="D31" s="22" t="n">
        <x:v>0</x:v>
      </x:c>
      <x:c r="E31" s="22" t="n">
        <x:f>C31*D31</x:f>
        <x:v>0</x:v>
      </x:c>
      <x:c r="F31" t="str">
        <x:v>No</x:v>
      </x:c>
    </x:row>
    <x:row r="32">
      <x:c r="A32" t="str">
        <x:v>Passenger Vessel, LTSA</x:v>
      </x:c>
      <x:c r="B32" t="str">
        <x:v>PV_SP_031</x:v>
      </x:c>
      <x:c r="C32" s="22" t="n">
        <x:v>0</x:v>
      </x:c>
      <x:c r="D32" s="22" t="n">
        <x:v>0</x:v>
      </x:c>
      <x:c r="E32" s="22" t="n">
        <x:f>C32*D32</x:f>
        <x:v>0</x:v>
      </x:c>
      <x:c r="F32" t="str">
        <x:v>No</x:v>
      </x:c>
    </x:row>
    <x:row r="33">
      <x:c r="A33" t="str">
        <x:v>Passenger Vessel, LTSA</x:v>
      </x:c>
      <x:c r="B33" t="str">
        <x:v>PV_SP_032</x:v>
      </x:c>
      <x:c r="C33" s="22" t="n">
        <x:v>0</x:v>
      </x:c>
      <x:c r="D33" s="22" t="n">
        <x:v>0</x:v>
      </x:c>
      <x:c r="E33" s="22" t="n">
        <x:f>C33*D33</x:f>
        <x:v>0</x:v>
      </x:c>
      <x:c r="F33" t="str">
        <x:v>No</x:v>
      </x:c>
    </x:row>
    <x:row r="34">
      <x:c r="A34" t="str">
        <x:v>Passenger Vessel, LTSA</x:v>
      </x:c>
      <x:c r="B34" t="str">
        <x:v>PV_SP_033</x:v>
      </x:c>
      <x:c r="C34" s="22" t="n">
        <x:v>0</x:v>
      </x:c>
      <x:c r="D34" s="22" t="n">
        <x:v>0</x:v>
      </x:c>
      <x:c r="E34" s="22" t="n">
        <x:f>C34*D34</x:f>
        <x:v>0</x:v>
      </x:c>
      <x:c r="F34" t="str">
        <x:v>No</x:v>
      </x:c>
    </x:row>
    <x:row r="35">
      <x:c r="A35" t="str">
        <x:v>Passenger Vessel, LTSA</x:v>
      </x:c>
      <x:c r="B35" t="str">
        <x:v>PV_SP_034</x:v>
      </x:c>
      <x:c r="C35" s="22" t="n">
        <x:v>0</x:v>
      </x:c>
      <x:c r="D35" s="22" t="n">
        <x:v>0</x:v>
      </x:c>
      <x:c r="E35" s="22" t="n">
        <x:f>C35*D35</x:f>
        <x:v>0</x:v>
      </x:c>
      <x:c r="F35" t="str">
        <x:v>No</x:v>
      </x:c>
    </x:row>
    <x:row r="36">
      <x:c r="A36" t="str">
        <x:v>Passenger Vessel, LTSA</x:v>
      </x:c>
      <x:c r="B36" t="str">
        <x:v>PV_SP_035</x:v>
      </x:c>
      <x:c r="C36" s="22" t="n">
        <x:v>0</x:v>
      </x:c>
      <x:c r="D36" s="22" t="n">
        <x:v>0</x:v>
      </x:c>
      <x:c r="E36" s="22" t="n">
        <x:f>C36*D36</x:f>
        <x:v>0</x:v>
      </x:c>
      <x:c r="F36" t="str">
        <x:v>No</x:v>
      </x:c>
    </x:row>
    <x:row r="37">
      <x:c r="A37" t="str">
        <x:v>Passenger Vessel, LTSA</x:v>
      </x:c>
      <x:c r="B37" t="str">
        <x:v>PV_SP_036</x:v>
      </x:c>
      <x:c r="C37" s="22" t="n">
        <x:v>0</x:v>
      </x:c>
      <x:c r="D37" s="22" t="n">
        <x:v>0</x:v>
      </x:c>
      <x:c r="E37" s="22" t="n">
        <x:f>C37*D37</x:f>
        <x:v>0</x:v>
      </x:c>
      <x:c r="F37" t="str">
        <x:v>No</x:v>
      </x:c>
    </x:row>
    <x:row r="38">
      <x:c r="A38" t="str">
        <x:v>Passenger Vessel, LTSA</x:v>
      </x:c>
      <x:c r="B38" t="str">
        <x:v>PV_SP_037</x:v>
      </x:c>
      <x:c r="C38" s="22" t="n">
        <x:v>0</x:v>
      </x:c>
      <x:c r="D38" s="22" t="n">
        <x:v>0</x:v>
      </x:c>
      <x:c r="E38" s="22" t="n">
        <x:f>C38*D38</x:f>
        <x:v>0</x:v>
      </x:c>
      <x:c r="F38" t="str">
        <x:v>No</x:v>
      </x:c>
    </x:row>
    <x:row r="39">
      <x:c r="A39" t="str">
        <x:v>Passenger Vessel, LTSA</x:v>
      </x:c>
      <x:c r="B39" t="str">
        <x:v>PV_SP_038</x:v>
      </x:c>
      <x:c r="C39" s="22" t="n">
        <x:v>0</x:v>
      </x:c>
      <x:c r="D39" s="22" t="n">
        <x:v>0</x:v>
      </x:c>
      <x:c r="E39" s="22" t="n">
        <x:f>C39*D39</x:f>
        <x:v>0</x:v>
      </x:c>
      <x:c r="F39" t="str">
        <x:v>No</x:v>
      </x:c>
    </x:row>
    <x:row r="40">
      <x:c r="A40" t="str">
        <x:v>Passenger Vessel, LTSA</x:v>
      </x:c>
      <x:c r="B40" t="str">
        <x:v>PV_SP_039</x:v>
      </x:c>
      <x:c r="C40" s="22" t="n">
        <x:v>0</x:v>
      </x:c>
      <x:c r="D40" s="22" t="n">
        <x:v>0</x:v>
      </x:c>
      <x:c r="E40" s="22" t="n">
        <x:f>C40*D40</x:f>
        <x:v>0</x:v>
      </x:c>
      <x:c r="F40" t="str">
        <x:v>No</x:v>
      </x:c>
    </x:row>
    <x:row r="41">
      <x:c r="A41" t="str">
        <x:v>Passenger Vessel, LTSA</x:v>
      </x:c>
      <x:c r="B41" t="str">
        <x:v>PV_SP_040</x:v>
      </x:c>
      <x:c r="C41" s="22" t="n">
        <x:v>0</x:v>
      </x:c>
      <x:c r="D41" s="22" t="n">
        <x:v>0</x:v>
      </x:c>
      <x:c r="E41" s="22" t="n">
        <x:f>C41*D41</x:f>
        <x:v>0</x:v>
      </x:c>
      <x:c r="F41" t="str">
        <x:v>No</x:v>
      </x:c>
    </x:row>
    <x:row r="42">
      <x:c r="A42" t="str">
        <x:v>Passenger Vessel, LTSA</x:v>
      </x:c>
      <x:c r="B42" t="str">
        <x:v>PV_SP_041</x:v>
      </x:c>
      <x:c r="C42" s="22" t="n">
        <x:v>0</x:v>
      </x:c>
      <x:c r="D42" s="22" t="n">
        <x:v>0</x:v>
      </x:c>
      <x:c r="E42" s="22" t="n">
        <x:f>C42*D42</x:f>
        <x:v>0</x:v>
      </x:c>
      <x:c r="F42" t="str">
        <x:v>No</x:v>
      </x:c>
    </x:row>
    <x:row r="43">
      <x:c r="A43" t="str">
        <x:v>Passenger Vessel, LTSA</x:v>
      </x:c>
      <x:c r="B43" t="str">
        <x:v>PV_SP_042</x:v>
      </x:c>
      <x:c r="C43" s="22" t="n">
        <x:v>0</x:v>
      </x:c>
      <x:c r="D43" s="22" t="n">
        <x:v>0</x:v>
      </x:c>
      <x:c r="E43" s="22" t="n">
        <x:f>C43*D43</x:f>
        <x:v>0</x:v>
      </x:c>
      <x:c r="F43" t="str">
        <x:v>No</x:v>
      </x:c>
    </x:row>
    <x:row r="44">
      <x:c r="A44" t="str">
        <x:v>Passenger Vessel, LTSA</x:v>
      </x:c>
      <x:c r="B44" t="str">
        <x:v>PV_SP_043</x:v>
      </x:c>
      <x:c r="C44" s="22" t="n">
        <x:v>0</x:v>
      </x:c>
      <x:c r="D44" s="22" t="n">
        <x:v>0</x:v>
      </x:c>
      <x:c r="E44" s="22" t="n">
        <x:f>C44*D44</x:f>
        <x:v>0</x:v>
      </x:c>
      <x:c r="F44" t="str">
        <x:v>No</x:v>
      </x:c>
    </x:row>
    <x:row r="45">
      <x:c r="A45" t="str">
        <x:v>Passenger Vessel, LTSA</x:v>
      </x:c>
      <x:c r="B45" t="str">
        <x:v>PV_SP_044</x:v>
      </x:c>
      <x:c r="C45" s="22" t="n">
        <x:v>0</x:v>
      </x:c>
      <x:c r="D45" s="22" t="n">
        <x:v>0</x:v>
      </x:c>
      <x:c r="E45" s="22" t="n">
        <x:f>C45*D45</x:f>
        <x:v>0</x:v>
      </x:c>
      <x:c r="F45" t="str">
        <x:v>No</x:v>
      </x:c>
    </x:row>
    <x:row r="46">
      <x:c r="A46" t="str">
        <x:v>Passenger Vessel, LTSA</x:v>
      </x:c>
      <x:c r="B46" t="str">
        <x:v>PV_SP_045</x:v>
      </x:c>
      <x:c r="C46" s="22" t="n">
        <x:v>0</x:v>
      </x:c>
      <x:c r="D46" s="22" t="n">
        <x:v>0</x:v>
      </x:c>
      <x:c r="E46" s="22" t="n">
        <x:f>C46*D46</x:f>
        <x:v>0</x:v>
      </x:c>
      <x:c r="F46" t="str">
        <x:v>No</x:v>
      </x:c>
    </x:row>
    <x:row r="47">
      <x:c r="A47" t="str">
        <x:v>Passenger Vessel, LTSA</x:v>
      </x:c>
      <x:c r="B47" t="str">
        <x:v>PV_SP_046</x:v>
      </x:c>
      <x:c r="C47" s="22" t="n">
        <x:v>0</x:v>
      </x:c>
      <x:c r="D47" s="22" t="n">
        <x:v>0</x:v>
      </x:c>
      <x:c r="E47" s="22" t="n">
        <x:f>C47*D47</x:f>
        <x:v>0</x:v>
      </x:c>
      <x:c r="F47" t="str">
        <x:v>No</x:v>
      </x:c>
    </x:row>
    <x:row r="48">
      <x:c r="A48" t="str">
        <x:v>Passenger Vessel, LTSA</x:v>
      </x:c>
      <x:c r="B48" t="str">
        <x:v>PV_SP_047</x:v>
      </x:c>
      <x:c r="C48" s="22" t="n">
        <x:v>0</x:v>
      </x:c>
      <x:c r="D48" s="22" t="n">
        <x:v>0</x:v>
      </x:c>
      <x:c r="E48" s="22" t="n">
        <x:f>C48*D48</x:f>
        <x:v>0</x:v>
      </x:c>
      <x:c r="F48" t="str">
        <x:v>No</x:v>
      </x:c>
    </x:row>
    <x:row r="49">
      <x:c r="A49" t="str">
        <x:v>Passenger Vessel, LTSA</x:v>
      </x:c>
      <x:c r="B49" t="str">
        <x:v>PV_SP_048</x:v>
      </x:c>
      <x:c r="C49" s="22" t="n">
        <x:v>0</x:v>
      </x:c>
      <x:c r="D49" s="22" t="n">
        <x:v>0</x:v>
      </x:c>
      <x:c r="E49" s="22" t="n">
        <x:f>C49*D49</x:f>
        <x:v>0</x:v>
      </x:c>
      <x:c r="F49" t="str">
        <x:v>No</x:v>
      </x:c>
    </x:row>
    <x:row r="50">
      <x:c r="A50" t="str">
        <x:v>Passenger Vessel, LTSA</x:v>
      </x:c>
      <x:c r="B50" t="str">
        <x:v>PV_SP_049</x:v>
      </x:c>
      <x:c r="C50" s="22" t="n">
        <x:v>0</x:v>
      </x:c>
      <x:c r="D50" s="22" t="n">
        <x:v>0</x:v>
      </x:c>
      <x:c r="E50" s="22" t="n">
        <x:f>C50*D50</x:f>
        <x:v>0</x:v>
      </x:c>
      <x:c r="F50" t="str">
        <x:v>No</x:v>
      </x:c>
    </x:row>
    <x:row r="51">
      <x:c r="A51" t="str">
        <x:v>Passenger Vessel, LTSA</x:v>
      </x:c>
      <x:c r="B51" t="str">
        <x:v>PV_SP_050</x:v>
      </x:c>
      <x:c r="C51" s="22" t="n">
        <x:v>0</x:v>
      </x:c>
      <x:c r="D51" s="22" t="n">
        <x:v>0</x:v>
      </x:c>
      <x:c r="E51" s="22" t="n">
        <x:f>C51*D51</x:f>
        <x:v>0</x:v>
      </x:c>
      <x:c r="F51" t="str">
        <x:v>No</x:v>
      </x:c>
    </x:row>
    <x:row r="52">
      <x:c r="A52" t="str">
        <x:v>Passenger Vessel, LTSA</x:v>
      </x:c>
      <x:c r="B52" t="str">
        <x:v>PV_SP_051</x:v>
      </x:c>
      <x:c r="C52" s="22" t="n">
        <x:v>0</x:v>
      </x:c>
      <x:c r="D52" s="22" t="n">
        <x:v>0</x:v>
      </x:c>
      <x:c r="E52" s="22" t="n">
        <x:f>C52*D52</x:f>
        <x:v>0</x:v>
      </x:c>
      <x:c r="F52" t="str">
        <x:v>No</x:v>
      </x:c>
    </x:row>
    <x:row r="53">
      <x:c r="A53" t="str">
        <x:v>Passenger Vessel, LTSA</x:v>
      </x:c>
      <x:c r="B53" t="str">
        <x:v>PV_SP_052</x:v>
      </x:c>
      <x:c r="C53" s="22" t="n">
        <x:v>0</x:v>
      </x:c>
      <x:c r="D53" s="22" t="n">
        <x:v>0</x:v>
      </x:c>
      <x:c r="E53" s="22" t="n">
        <x:f>C53*D53</x:f>
        <x:v>0</x:v>
      </x:c>
      <x:c r="F53" t="str">
        <x:v>No</x:v>
      </x:c>
    </x:row>
    <x:row r="54">
      <x:c r="A54" t="str">
        <x:v>Passenger Vessel, LTSA</x:v>
      </x:c>
      <x:c r="B54" t="str">
        <x:v>PV_SP_053</x:v>
      </x:c>
      <x:c r="C54" s="22" t="n">
        <x:v>0</x:v>
      </x:c>
      <x:c r="D54" s="22" t="n">
        <x:v>0</x:v>
      </x:c>
      <x:c r="E54" s="22" t="n">
        <x:f>C54*D54</x:f>
        <x:v>0</x:v>
      </x:c>
      <x:c r="F54" t="str">
        <x:v>No</x:v>
      </x:c>
    </x:row>
    <x:row r="55">
      <x:c r="A55" t="str">
        <x:v>Passenger Vessel, LTSA</x:v>
      </x:c>
      <x:c r="B55" t="str">
        <x:v>PV_SP_054</x:v>
      </x:c>
      <x:c r="C55" s="22" t="n">
        <x:v>0</x:v>
      </x:c>
      <x:c r="D55" s="22" t="n">
        <x:v>0</x:v>
      </x:c>
      <x:c r="E55" s="22" t="n">
        <x:f>C55*D55</x:f>
        <x:v>0</x:v>
      </x:c>
      <x:c r="F55" t="str">
        <x:v>No</x:v>
      </x:c>
    </x:row>
    <x:row r="56">
      <x:c r="A56" t="str">
        <x:v>Passenger Vessel, LTSA</x:v>
      </x:c>
      <x:c r="B56" t="str">
        <x:v>PV_SP_055</x:v>
      </x:c>
      <x:c r="C56" s="22" t="n">
        <x:v>0</x:v>
      </x:c>
      <x:c r="D56" s="22" t="n">
        <x:v>0</x:v>
      </x:c>
      <x:c r="E56" s="22" t="n">
        <x:f>C56*D56</x:f>
        <x:v>0</x:v>
      </x:c>
      <x:c r="F56" t="str">
        <x:v>No</x:v>
      </x:c>
    </x:row>
    <x:row r="57">
      <x:c r="A57" t="str">
        <x:v>Passenger Vessel, LTSA</x:v>
      </x:c>
      <x:c r="B57" t="str">
        <x:v>PV_SP_056</x:v>
      </x:c>
      <x:c r="C57" s="22" t="n">
        <x:v>0</x:v>
      </x:c>
      <x:c r="D57" s="22" t="n">
        <x:v>0</x:v>
      </x:c>
      <x:c r="E57" s="22" t="n">
        <x:f>C57*D57</x:f>
        <x:v>0</x:v>
      </x:c>
      <x:c r="F57" t="str">
        <x:v>No</x:v>
      </x:c>
    </x:row>
    <x:row r="58">
      <x:c r="A58" t="str">
        <x:v>Passenger Vessel, LTSA</x:v>
      </x:c>
      <x:c r="B58" t="str">
        <x:v>PV_SP_057</x:v>
      </x:c>
      <x:c r="C58" s="22" t="n">
        <x:v>0</x:v>
      </x:c>
      <x:c r="D58" s="22" t="n">
        <x:v>0</x:v>
      </x:c>
      <x:c r="E58" s="22" t="n">
        <x:f>C58*D58</x:f>
        <x:v>0</x:v>
      </x:c>
      <x:c r="F58" t="str">
        <x:v>No</x:v>
      </x:c>
    </x:row>
    <x:row r="59">
      <x:c r="A59" t="str">
        <x:v>Passenger Vessel, LTSA</x:v>
      </x:c>
      <x:c r="B59" t="str">
        <x:v>PV_SP_058</x:v>
      </x:c>
      <x:c r="C59" s="22" t="n">
        <x:v>0</x:v>
      </x:c>
      <x:c r="D59" s="22" t="n">
        <x:v>0</x:v>
      </x:c>
      <x:c r="E59" s="22" t="n">
        <x:f>C59*D59</x:f>
        <x:v>0</x:v>
      </x:c>
      <x:c r="F59" t="str">
        <x:v>No</x:v>
      </x:c>
    </x:row>
    <x:row r="60">
      <x:c r="A60" t="str">
        <x:v>Passenger Vessel, LTSA</x:v>
      </x:c>
      <x:c r="B60" t="str">
        <x:v>PV_SP_059</x:v>
      </x:c>
      <x:c r="C60" s="22" t="n">
        <x:v>0</x:v>
      </x:c>
      <x:c r="D60" s="22" t="n">
        <x:v>0</x:v>
      </x:c>
      <x:c r="E60" s="22" t="n">
        <x:f>C60*D60</x:f>
        <x:v>0</x:v>
      </x:c>
      <x:c r="F60" t="str">
        <x:v>No</x:v>
      </x:c>
    </x:row>
    <x:row r="61">
      <x:c r="A61" t="str">
        <x:v>Passenger Vessel, LTSA</x:v>
      </x:c>
      <x:c r="B61" t="str">
        <x:v>PV_SP_060</x:v>
      </x:c>
      <x:c r="C61" s="22" t="n">
        <x:v>0</x:v>
      </x:c>
      <x:c r="D61" s="22" t="n">
        <x:v>0</x:v>
      </x:c>
      <x:c r="E61" s="22" t="n">
        <x:f>C61*D61</x:f>
        <x:v>0</x:v>
      </x:c>
      <x:c r="F61" t="str">
        <x:v>No</x:v>
      </x:c>
    </x:row>
    <x:row r="62">
      <x:c r="A62" t="str">
        <x:v>Passenger Vessel, LTSA</x:v>
      </x:c>
      <x:c r="B62" t="str">
        <x:v>PV_SP_061</x:v>
      </x:c>
      <x:c r="C62" s="22" t="n">
        <x:v>0</x:v>
      </x:c>
      <x:c r="D62" s="22" t="n">
        <x:v>0</x:v>
      </x:c>
      <x:c r="E62" s="22" t="n">
        <x:f>C62*D62</x:f>
        <x:v>0</x:v>
      </x:c>
      <x:c r="F62" t="str">
        <x:v>No</x:v>
      </x:c>
    </x:row>
    <x:row r="63">
      <x:c r="A63" t="str">
        <x:v>Passenger Vessel, LTSA</x:v>
      </x:c>
      <x:c r="B63" t="str">
        <x:v>PV_SP_062</x:v>
      </x:c>
      <x:c r="C63" s="22" t="n">
        <x:v>0</x:v>
      </x:c>
      <x:c r="D63" s="22" t="n">
        <x:v>0</x:v>
      </x:c>
      <x:c r="E63" s="22" t="n">
        <x:f>C63*D63</x:f>
        <x:v>0</x:v>
      </x:c>
      <x:c r="F63" t="str">
        <x:v>No</x:v>
      </x:c>
    </x:row>
    <x:row r="64">
      <x:c r="A64" t="str">
        <x:v>Passenger Vessel, LTSA</x:v>
      </x:c>
      <x:c r="B64" t="str">
        <x:v>PV_SP_063</x:v>
      </x:c>
      <x:c r="C64" s="22" t="n">
        <x:v>0</x:v>
      </x:c>
      <x:c r="D64" s="22" t="n">
        <x:v>0</x:v>
      </x:c>
      <x:c r="E64" s="22" t="n">
        <x:f>C64*D64</x:f>
        <x:v>0</x:v>
      </x:c>
      <x:c r="F64" t="str">
        <x:v>No</x:v>
      </x:c>
    </x:row>
    <x:row r="65">
      <x:c r="A65" t="str">
        <x:v>Passenger Vessel, LTSA</x:v>
      </x:c>
      <x:c r="B65" t="str">
        <x:v>PV_SP_064</x:v>
      </x:c>
      <x:c r="C65" s="22" t="n">
        <x:v>0</x:v>
      </x:c>
      <x:c r="D65" s="22" t="n">
        <x:v>0</x:v>
      </x:c>
      <x:c r="E65" s="22" t="n">
        <x:f>C65*D65</x:f>
        <x:v>0</x:v>
      </x:c>
      <x:c r="F65" t="str">
        <x:v>No</x:v>
      </x:c>
    </x:row>
    <x:row r="66">
      <x:c r="A66" t="str">
        <x:v>Passenger Vessel, LTSA</x:v>
      </x:c>
      <x:c r="B66" t="str">
        <x:v>PV_SP_065</x:v>
      </x:c>
      <x:c r="C66" s="22" t="n">
        <x:v>0</x:v>
      </x:c>
      <x:c r="D66" s="22" t="n">
        <x:v>0</x:v>
      </x:c>
      <x:c r="E66" s="22" t="n">
        <x:f>C66*D66</x:f>
        <x:v>0</x:v>
      </x:c>
      <x:c r="F66" t="str">
        <x:v>No</x:v>
      </x:c>
    </x:row>
    <x:row r="67">
      <x:c r="A67" t="str">
        <x:v>Passenger Vessel, LTSA</x:v>
      </x:c>
      <x:c r="B67" t="str">
        <x:v>PV_SP_066</x:v>
      </x:c>
      <x:c r="C67" s="22" t="n">
        <x:v>0</x:v>
      </x:c>
      <x:c r="D67" s="22" t="n">
        <x:v>0</x:v>
      </x:c>
      <x:c r="E67" s="22" t="n">
        <x:f>C67*D67</x:f>
        <x:v>0</x:v>
      </x:c>
      <x:c r="F67" t="str">
        <x:v>No</x:v>
      </x:c>
    </x:row>
    <x:row r="68">
      <x:c r="A68" t="str">
        <x:v>Passenger Vessel, LTSA</x:v>
      </x:c>
      <x:c r="B68" t="str">
        <x:v>PV_SP_067</x:v>
      </x:c>
      <x:c r="C68" s="22" t="n">
        <x:v>0</x:v>
      </x:c>
      <x:c r="D68" s="22" t="n">
        <x:v>0</x:v>
      </x:c>
      <x:c r="E68" s="22" t="n">
        <x:f>C68*D68</x:f>
        <x:v>0</x:v>
      </x:c>
      <x:c r="F68" t="str">
        <x:v>No</x:v>
      </x:c>
    </x:row>
    <x:row r="69">
      <x:c r="A69" t="str">
        <x:v>Passenger Vessel, LTSA</x:v>
      </x:c>
      <x:c r="B69" t="str">
        <x:v>PV_SP_068</x:v>
      </x:c>
      <x:c r="C69" s="22" t="n">
        <x:v>0</x:v>
      </x:c>
      <x:c r="D69" s="22" t="n">
        <x:v>0</x:v>
      </x:c>
      <x:c r="E69" s="22" t="n">
        <x:f>C69*D69</x:f>
        <x:v>0</x:v>
      </x:c>
      <x:c r="F69" t="str">
        <x:v>No</x:v>
      </x:c>
    </x:row>
    <x:row r="70">
      <x:c r="A70" t="str">
        <x:v>Passenger Vessel, LTSA</x:v>
      </x:c>
      <x:c r="B70" t="str">
        <x:v>PV_SP_069</x:v>
      </x:c>
      <x:c r="C70" s="22" t="n">
        <x:v>0</x:v>
      </x:c>
      <x:c r="D70" s="22" t="n">
        <x:v>0</x:v>
      </x:c>
      <x:c r="E70" s="22" t="n">
        <x:f>C70*D70</x:f>
        <x:v>0</x:v>
      </x:c>
      <x:c r="F70" t="str">
        <x:v>No</x:v>
      </x:c>
    </x:row>
    <x:row r="71">
      <x:c r="A71" t="str">
        <x:v>Passenger Vessel, LTSA</x:v>
      </x:c>
      <x:c r="B71" t="str">
        <x:v>PV_SP_070</x:v>
      </x:c>
      <x:c r="C71" s="22" t="n">
        <x:v>0</x:v>
      </x:c>
      <x:c r="D71" s="22" t="n">
        <x:v>0</x:v>
      </x:c>
      <x:c r="E71" s="22" t="n">
        <x:f>C71*D71</x:f>
        <x:v>0</x:v>
      </x:c>
      <x:c r="F71" t="str">
        <x:v>No</x:v>
      </x:c>
    </x:row>
    <x:row r="72">
      <x:c r="A72" t="str">
        <x:v>Passenger Vessel, LTSA</x:v>
      </x:c>
      <x:c r="B72" t="str">
        <x:v>PV_SP_071</x:v>
      </x:c>
      <x:c r="C72" s="22" t="n">
        <x:v>0</x:v>
      </x:c>
      <x:c r="D72" s="22" t="n">
        <x:v>0</x:v>
      </x:c>
      <x:c r="E72" s="22" t="n">
        <x:f>C72*D72</x:f>
        <x:v>0</x:v>
      </x:c>
      <x:c r="F72" t="str">
        <x:v>No</x:v>
      </x:c>
    </x:row>
    <x:row r="73">
      <x:c r="A73" t="str">
        <x:v>Passenger Vessel, LTSA</x:v>
      </x:c>
      <x:c r="B73" t="str">
        <x:v>PV_SP_072</x:v>
      </x:c>
      <x:c r="C73" s="22" t="n">
        <x:v>0</x:v>
      </x:c>
      <x:c r="D73" s="22" t="n">
        <x:v>0</x:v>
      </x:c>
      <x:c r="E73" s="22" t="n">
        <x:f>C73*D73</x:f>
        <x:v>0</x:v>
      </x:c>
      <x:c r="F73" t="str">
        <x:v>No</x:v>
      </x:c>
    </x:row>
    <x:row r="74">
      <x:c r="A74" t="str">
        <x:v>Passenger Vessel, LTSA</x:v>
      </x:c>
      <x:c r="B74" t="str">
        <x:v>PV_SP_073</x:v>
      </x:c>
      <x:c r="C74" s="22" t="n">
        <x:v>1</x:v>
      </x:c>
      <x:c r="D74" s="22" t="n">
        <x:v>126.207</x:v>
      </x:c>
      <x:c r="E74" s="22" t="n">
        <x:f>C74*D74</x:f>
        <x:v>126.207</x:v>
      </x:c>
      <x:c r="F74" t="str">
        <x:v>Yes</x:v>
      </x:c>
    </x:row>
    <x:row r="75">
      <x:c r="A75" t="str">
        <x:v>Passenger Vessel, LTSA</x:v>
      </x:c>
      <x:c r="B75" t="str">
        <x:v>PV_SP_074</x:v>
      </x:c>
      <x:c r="C75" s="22" t="n">
        <x:v>2</x:v>
      </x:c>
      <x:c r="D75" s="22" t="n">
        <x:v>23.3627</x:v>
      </x:c>
      <x:c r="E75" s="22" t="n">
        <x:f>C75*D75</x:f>
        <x:v>46.7254</x:v>
      </x:c>
      <x:c r="F75" t="str">
        <x:v>Yes</x:v>
      </x:c>
    </x:row>
    <x:row r="76">
      <x:c r="A76" t="str">
        <x:v>Passenger Vessel, LTSA</x:v>
      </x:c>
      <x:c r="B76" t="str">
        <x:v>PV_SP_075</x:v>
      </x:c>
      <x:c r="C76" s="22" t="n">
        <x:v>1</x:v>
      </x:c>
      <x:c r="D76" s="22" t="n">
        <x:v>721.7612</x:v>
      </x:c>
      <x:c r="E76" s="22" t="n">
        <x:f>C76*D76</x:f>
        <x:v>721.7612</x:v>
      </x:c>
      <x:c r="F76" t="str">
        <x:v>Yes</x:v>
      </x:c>
    </x:row>
    <x:row r="77">
      <x:c r="A77" t="str">
        <x:v>Passenger Vessel, LTSA</x:v>
      </x:c>
      <x:c r="B77" t="str">
        <x:v>PV_SP_076</x:v>
      </x:c>
      <x:c r="C77" s="22" t="n">
        <x:v>2</x:v>
      </x:c>
      <x:c r="D77" s="22" t="n">
        <x:v>218.6374</x:v>
      </x:c>
      <x:c r="E77" s="22" t="n">
        <x:f>C77*D77</x:f>
        <x:v>437.2748</x:v>
      </x:c>
      <x:c r="F77" t="str">
        <x:v>Yes</x:v>
      </x:c>
    </x:row>
    <x:row r="78">
      <x:c r="A78" t="str">
        <x:v>Passenger Vessel, LTSA</x:v>
      </x:c>
      <x:c r="B78" t="str">
        <x:v>PV_SP_077</x:v>
      </x:c>
      <x:c r="C78" s="22" t="n">
        <x:v>4</x:v>
      </x:c>
      <x:c r="D78" s="22" t="n">
        <x:v>23.3627</x:v>
      </x:c>
      <x:c r="E78" s="22" t="n">
        <x:f>C78*D78</x:f>
        <x:v>93.4508</x:v>
      </x:c>
      <x:c r="F78" t="str">
        <x:v>Yes</x:v>
      </x:c>
    </x:row>
    <x:row r="79">
      <x:c r="A79" t="str">
        <x:v>Passenger Vessel, LTSA</x:v>
      </x:c>
      <x:c r="B79" t="str">
        <x:v>PV_SP_078</x:v>
      </x:c>
      <x:c r="C79" s="22" t="n">
        <x:v>1</x:v>
      </x:c>
      <x:c r="D79" s="22" t="n">
        <x:v>126.207</x:v>
      </x:c>
      <x:c r="E79" s="22" t="n">
        <x:f>C79*D79</x:f>
        <x:v>126.207</x:v>
      </x:c>
      <x:c r="F79" t="str">
        <x:v>Yes</x:v>
      </x:c>
    </x:row>
    <x:row r="80">
      <x:c r="A80" t="str">
        <x:v>Passenger Vessel, LTSA</x:v>
      </x:c>
      <x:c r="B80" t="str">
        <x:v>PV_SP_079</x:v>
      </x:c>
      <x:c r="C80" s="22" t="n">
        <x:v>2</x:v>
      </x:c>
      <x:c r="D80" s="22" t="n">
        <x:v>25.8347</x:v>
      </x:c>
      <x:c r="E80" s="22" t="n">
        <x:f>C80*D80</x:f>
        <x:v>51.6694</x:v>
      </x:c>
      <x:c r="F80" t="str">
        <x:v>Yes</x:v>
      </x:c>
    </x:row>
    <x:row r="81">
      <x:c r="A81" t="str">
        <x:v>Passenger Vessel, LTSA</x:v>
      </x:c>
      <x:c r="B81" t="str">
        <x:v>PV_SP_080</x:v>
      </x:c>
      <x:c r="C81" s="22" t="n">
        <x:v>2</x:v>
      </x:c>
      <x:c r="D81" s="22" t="n">
        <x:v>218.6374</x:v>
      </x:c>
      <x:c r="E81" s="22" t="n">
        <x:f>C81*D81</x:f>
        <x:v>437.2748</x:v>
      </x:c>
      <x:c r="F81" t="str">
        <x:v>Yes</x:v>
      </x:c>
    </x:row>
    <x:row r="82">
      <x:c r="A82" t="str">
        <x:v>Passenger Vessel, LTSA</x:v>
      </x:c>
      <x:c r="B82" t="str">
        <x:v>PV_SP_081</x:v>
      </x:c>
      <x:c r="C82" s="22" t="n">
        <x:v>1</x:v>
      </x:c>
      <x:c r="D82" s="22" t="n">
        <x:v>721.7612</x:v>
      </x:c>
      <x:c r="E82" s="22" t="n">
        <x:f>C82*D82</x:f>
        <x:v>721.7612</x:v>
      </x:c>
      <x:c r="F82" t="str">
        <x:v>Yes</x:v>
      </x:c>
    </x:row>
    <x:row r="83">
      <x:c r="A83" t="str">
        <x:v>Passenger Vessel, LTSA</x:v>
      </x:c>
      <x:c r="B83" t="str">
        <x:v>PV_SP_082</x:v>
      </x:c>
      <x:c r="C83" s="22" t="n">
        <x:v>1</x:v>
      </x:c>
      <x:c r="D83" s="22" t="n">
        <x:v>38.752</x:v>
      </x:c>
      <x:c r="E83" s="22" t="n">
        <x:f>C83*D83</x:f>
        <x:v>38.752</x:v>
      </x:c>
      <x:c r="F83" t="str">
        <x:v>Yes</x:v>
      </x:c>
    </x:row>
    <x:row r="84">
      <x:c r="A84" t="str">
        <x:v>Passenger Vessel, LTSA</x:v>
      </x:c>
      <x:c r="B84" t="str">
        <x:v>PV_SP_083</x:v>
      </x:c>
      <x:c r="C84" s="22" t="n">
        <x:v>1</x:v>
      </x:c>
      <x:c r="D84" s="22" t="n">
        <x:v>1528.9472</x:v>
      </x:c>
      <x:c r="E84" s="22" t="n">
        <x:f>C84*D84</x:f>
        <x:v>1528.9472</x:v>
      </x:c>
      <x:c r="F84" t="str">
        <x:v>Yes</x:v>
      </x:c>
    </x:row>
    <x:row r="85">
      <x:c r="A85" t="str">
        <x:v>Passenger Vessel, LTSA</x:v>
      </x:c>
      <x:c r="B85" t="str">
        <x:v>PV_SP_084</x:v>
      </x:c>
      <x:c r="C85" s="22" t="n">
        <x:v>1</x:v>
      </x:c>
      <x:c r="D85" s="22" t="n">
        <x:v>1528.9472</x:v>
      </x:c>
      <x:c r="E85" s="22" t="n">
        <x:f>C85*D85</x:f>
        <x:v>1528.9472</x:v>
      </x:c>
      <x:c r="F85" t="str">
        <x:v>Yes</x:v>
      </x:c>
    </x:row>
    <x:row r="86">
      <x:c r="A86" t="str">
        <x:v>Passenger Vessel, LTSA</x:v>
      </x:c>
      <x:c r="B86" t="str">
        <x:v>PV_SP_085</x:v>
      </x:c>
      <x:c r="C86" s="22" t="n">
        <x:v>2</x:v>
      </x:c>
      <x:c r="D86" s="22" t="n">
        <x:v>42.218</x:v>
      </x:c>
      <x:c r="E86" s="22" t="n">
        <x:f>C86*D86</x:f>
        <x:v>84.436</x:v>
      </x:c>
      <x:c r="F86" t="str">
        <x:v>Yes</x:v>
      </x:c>
    </x:row>
    <x:row r="87">
      <x:c r="A87" t="str">
        <x:v>Passenger Vessel, LTSA</x:v>
      </x:c>
      <x:c r="B87" t="str">
        <x:v>PV_SP_086</x:v>
      </x:c>
      <x:c r="C87" s="22" t="n">
        <x:v>0</x:v>
      </x:c>
      <x:c r="D87" s="22" t="n">
        <x:v>0</x:v>
      </x:c>
      <x:c r="E87" s="22" t="n">
        <x:f>C87*D87</x:f>
        <x:v>0</x:v>
      </x:c>
      <x:c r="F87" t="str">
        <x:v>No</x:v>
      </x:c>
    </x:row>
    <x:row r="88">
      <x:c r="A88" t="str">
        <x:v>Passenger Vessel, LTSA</x:v>
      </x:c>
      <x:c r="B88" t="str">
        <x:v>PV_SP_087</x:v>
      </x:c>
      <x:c r="C88" s="22" t="n">
        <x:v>0</x:v>
      </x:c>
      <x:c r="D88" s="22" t="n">
        <x:v>0</x:v>
      </x:c>
      <x:c r="E88" s="22" t="n">
        <x:f>C88*D88</x:f>
        <x:v>0</x:v>
      </x:c>
      <x:c r="F88" t="str">
        <x:v>No</x:v>
      </x:c>
    </x:row>
    <x:row r="89">
      <x:c r="A89" t="str">
        <x:v>Passenger Vessel, LTSA</x:v>
      </x:c>
      <x:c r="B89" t="str">
        <x:v>PV_SP_088</x:v>
      </x:c>
      <x:c r="C89" s="22" t="n">
        <x:v>0</x:v>
      </x:c>
      <x:c r="D89" s="22" t="n">
        <x:v>0</x:v>
      </x:c>
      <x:c r="E89" s="22" t="n">
        <x:f>C89*D89</x:f>
        <x:v>0</x:v>
      </x:c>
      <x:c r="F89" t="str">
        <x:v>No</x:v>
      </x:c>
    </x:row>
    <x:row r="90">
      <x:c r="A90" t="str">
        <x:v>Passenger Vessel, LTSA</x:v>
      </x:c>
      <x:c r="B90" t="str">
        <x:v>PV_SP_089</x:v>
      </x:c>
      <x:c r="C90" s="22" t="n">
        <x:v>0</x:v>
      </x:c>
      <x:c r="D90" s="22" t="n">
        <x:v>0</x:v>
      </x:c>
      <x:c r="E90" s="22" t="n">
        <x:f>C90*D90</x:f>
        <x:v>0</x:v>
      </x:c>
      <x:c r="F90" t="str">
        <x:v>No</x:v>
      </x:c>
    </x:row>
    <x:row r="91">
      <x:c r="A91" t="str">
        <x:v>Passenger Vessel, LTSA</x:v>
      </x:c>
      <x:c r="B91" t="str">
        <x:v>PV_SP_090</x:v>
      </x:c>
      <x:c r="C91" s="22" t="n">
        <x:v>0</x:v>
      </x:c>
      <x:c r="D91" s="22" t="n">
        <x:v>0</x:v>
      </x:c>
      <x:c r="E91" s="22" t="n">
        <x:f>C91*D91</x:f>
        <x:v>0</x:v>
      </x:c>
      <x:c r="F91" t="str">
        <x:v>No</x:v>
      </x:c>
    </x:row>
    <x:row r="92">
      <x:c r="A92" t="str">
        <x:v>Passenger Vessel, LTSA</x:v>
      </x:c>
      <x:c r="B92" t="str">
        <x:v>PV_SP_091</x:v>
      </x:c>
      <x:c r="C92" s="22" t="n">
        <x:v>0</x:v>
      </x:c>
      <x:c r="D92" s="22" t="n">
        <x:v>0</x:v>
      </x:c>
      <x:c r="E92" s="22" t="n">
        <x:f>C92*D92</x:f>
        <x:v>0</x:v>
      </x:c>
      <x:c r="F92" t="str">
        <x:v>No</x:v>
      </x:c>
    </x:row>
    <x:row r="93">
      <x:c r="A93" t="str">
        <x:v>Passenger Vessel, LTSA</x:v>
      </x:c>
      <x:c r="B93" t="str">
        <x:v>PV_SP_092</x:v>
      </x:c>
      <x:c r="C93" s="22" t="n">
        <x:v>0</x:v>
      </x:c>
      <x:c r="D93" s="22" t="n">
        <x:v>0</x:v>
      </x:c>
      <x:c r="E93" s="22" t="n">
        <x:f>C93*D93</x:f>
        <x:v>0</x:v>
      </x:c>
      <x:c r="F93" t="str">
        <x:v>No</x:v>
      </x:c>
    </x:row>
    <x:row r="94">
      <x:c r="A94" t="str">
        <x:v>Passenger Vessel, LTSA</x:v>
      </x:c>
      <x:c r="B94" t="str">
        <x:v>PV_SP_093</x:v>
      </x:c>
      <x:c r="C94" s="22" t="n">
        <x:v>0</x:v>
      </x:c>
      <x:c r="D94" s="22" t="n">
        <x:v>0</x:v>
      </x:c>
      <x:c r="E94" s="22" t="n">
        <x:f>C94*D94</x:f>
        <x:v>0</x:v>
      </x:c>
      <x:c r="F94" t="str">
        <x:v>No</x:v>
      </x:c>
    </x:row>
    <x:row r="95">
      <x:c r="A95" t="str">
        <x:v>Passenger Vessel, LTSA</x:v>
      </x:c>
      <x:c r="B95" t="str">
        <x:v>PV_SP_094</x:v>
      </x:c>
      <x:c r="C95" s="22" t="n">
        <x:v>0</x:v>
      </x:c>
      <x:c r="D95" s="22" t="n">
        <x:v>0</x:v>
      </x:c>
      <x:c r="E95" s="22" t="n">
        <x:f>C95*D95</x:f>
        <x:v>0</x:v>
      </x:c>
      <x:c r="F95" t="str">
        <x:v>No</x:v>
      </x:c>
    </x:row>
    <x:row r="96">
      <x:c r="A96" t="str">
        <x:v>Passenger Vessel, LTSA</x:v>
      </x:c>
      <x:c r="B96" t="str">
        <x:v>PV_SP_095</x:v>
      </x:c>
      <x:c r="C96" s="22" t="n">
        <x:v>0</x:v>
      </x:c>
      <x:c r="D96" s="22" t="n">
        <x:v>0</x:v>
      </x:c>
      <x:c r="E96" s="22" t="n">
        <x:f>C96*D96</x:f>
        <x:v>0</x:v>
      </x:c>
      <x:c r="F96" t="str">
        <x:v>No</x:v>
      </x:c>
    </x:row>
    <x:row r="97">
      <x:c r="A97" t="str">
        <x:v>Passenger Vessel, LTSA</x:v>
      </x:c>
      <x:c r="B97" t="str">
        <x:v>PV_SP_096</x:v>
      </x:c>
      <x:c r="C97" s="22" t="n">
        <x:v>0</x:v>
      </x:c>
      <x:c r="D97" s="22" t="n">
        <x:v>0</x:v>
      </x:c>
      <x:c r="E97" s="22" t="n">
        <x:f>C97*D97</x:f>
        <x:v>0</x:v>
      </x:c>
      <x:c r="F97" t="str">
        <x:v>No</x:v>
      </x:c>
    </x:row>
    <x:row r="98">
      <x:c r="A98" t="str">
        <x:v>Passenger Vessel, LTSA</x:v>
      </x:c>
      <x:c r="B98" t="str">
        <x:v>PV_SP_097</x:v>
      </x:c>
      <x:c r="C98" s="22" t="n">
        <x:v>0</x:v>
      </x:c>
      <x:c r="D98" s="22" t="n">
        <x:v>0</x:v>
      </x:c>
      <x:c r="E98" s="22" t="n">
        <x:f>C98*D98</x:f>
        <x:v>0</x:v>
      </x:c>
      <x:c r="F98" t="str">
        <x:v>No</x:v>
      </x:c>
    </x:row>
    <x:row r="99">
      <x:c r="A99" t="str">
        <x:v>Passenger Vessel, LTSA</x:v>
      </x:c>
      <x:c r="B99" t="str">
        <x:v>PV_SP_098</x:v>
      </x:c>
      <x:c r="C99" s="22" t="n">
        <x:v>0</x:v>
      </x:c>
      <x:c r="D99" s="22" t="n">
        <x:v>0</x:v>
      </x:c>
      <x:c r="E99" s="22" t="n">
        <x:f>C99*D99</x:f>
        <x:v>0</x:v>
      </x:c>
      <x:c r="F99" t="str">
        <x:v>No</x:v>
      </x:c>
    </x:row>
    <x:row r="100">
      <x:c r="A100" t="str">
        <x:v>Passenger Vessel, LTSA</x:v>
      </x:c>
      <x:c r="B100" t="str">
        <x:v>PV_SP_099</x:v>
      </x:c>
      <x:c r="C100" s="22" t="n">
        <x:v>0</x:v>
      </x:c>
      <x:c r="D100" s="22" t="n">
        <x:v>0</x:v>
      </x:c>
      <x:c r="E100" s="22" t="n">
        <x:f>C100*D100</x:f>
        <x:v>0</x:v>
      </x:c>
      <x:c r="F100" t="str">
        <x:v>No</x:v>
      </x:c>
    </x:row>
    <x:row r="101">
      <x:c r="A101" t="str">
        <x:v>Passenger Vessel, LTSA</x:v>
      </x:c>
      <x:c r="B101" t="str">
        <x:v>PV_SP_100</x:v>
      </x:c>
      <x:c r="C101" s="22" t="n">
        <x:v>3</x:v>
      </x:c>
      <x:c r="D101" s="22" t="n">
        <x:v>263.4375</x:v>
      </x:c>
      <x:c r="E101" s="22" t="n">
        <x:f>C101*D101</x:f>
        <x:v>790.3125</x:v>
      </x:c>
      <x:c r="F101" t="str">
        <x:v>Yes</x:v>
      </x:c>
    </x:row>
    <x:row r="102">
      <x:c r="A102" t="str">
        <x:v>Passenger Vessel, LTSA</x:v>
      </x:c>
      <x:c r="B102" t="str">
        <x:v>PV_SP_101</x:v>
      </x:c>
      <x:c r="C102" s="22" t="n">
        <x:v>4</x:v>
      </x:c>
      <x:c r="D102" s="22" t="n">
        <x:v>162.7023</x:v>
      </x:c>
      <x:c r="E102" s="22" t="n">
        <x:f>C102*D102</x:f>
        <x:v>650.8092</x:v>
      </x:c>
      <x:c r="F102" t="str">
        <x:v>Yes</x:v>
      </x:c>
    </x:row>
    <x:row r="103">
      <x:c r="A103" t="str">
        <x:v>Passenger Vessel, LTSA</x:v>
      </x:c>
      <x:c r="B103" t="str">
        <x:v>PV_SP_102</x:v>
      </x:c>
      <x:c r="C103" s="22" t="n">
        <x:v>0</x:v>
      </x:c>
      <x:c r="D103" s="22" t="n">
        <x:v>0</x:v>
      </x:c>
      <x:c r="E103" s="22" t="n">
        <x:f>C103*D103</x:f>
        <x:v>0</x:v>
      </x:c>
      <x:c r="F103" t="str">
        <x:v>No</x:v>
      </x:c>
    </x:row>
    <x:row r="104">
      <x:c r="A104" t="str">
        <x:v>Passenger Vessel, LTSA</x:v>
      </x:c>
      <x:c r="B104" t="str">
        <x:v>PV_SP_103</x:v>
      </x:c>
      <x:c r="C104" s="22" t="n">
        <x:v>0</x:v>
      </x:c>
      <x:c r="D104" s="22" t="n">
        <x:v>0</x:v>
      </x:c>
      <x:c r="E104" s="22" t="n">
        <x:f>C104*D104</x:f>
        <x:v>0</x:v>
      </x:c>
      <x:c r="F104" t="str">
        <x:v>No</x:v>
      </x:c>
    </x:row>
    <x:row r="105">
      <x:c r="A105" t="str">
        <x:v>Passenger Vessel, LTSA</x:v>
      </x:c>
      <x:c r="B105" t="str">
        <x:v>PV_SP_104</x:v>
      </x:c>
      <x:c r="C105" s="22" t="n">
        <x:v>0</x:v>
      </x:c>
      <x:c r="D105" s="22" t="n">
        <x:v>0</x:v>
      </x:c>
      <x:c r="E105" s="22" t="n">
        <x:f>C105*D105</x:f>
        <x:v>0</x:v>
      </x:c>
      <x:c r="F105" t="str">
        <x:v>No</x:v>
      </x:c>
    </x:row>
    <x:row r="106">
      <x:c r="A106" t="str">
        <x:v>Heavy Lift Vessel, non-LTSA</x:v>
      </x:c>
      <x:c r="B106" t="str">
        <x:v>HL_SP_001</x:v>
      </x:c>
      <x:c r="C106" s="22" t="n">
        <x:v>1</x:v>
      </x:c>
      <x:c r="D106" s="22" t="n">
        <x:v>298.6312</x:v>
      </x:c>
      <x:c r="E106" s="22" t="n">
        <x:f>C106*D106</x:f>
        <x:v>298.6312</x:v>
      </x:c>
      <x:c r="F106" t="str">
        <x:v>Yes</x:v>
      </x:c>
    </x:row>
    <x:row r="107">
      <x:c r="A107" t="str">
        <x:v>Heavy Lift Vessel, non-LTSA</x:v>
      </x:c>
      <x:c r="B107" t="str">
        <x:v>HL_SP_002</x:v>
      </x:c>
      <x:c r="C107" s="22" t="n">
        <x:v>1</x:v>
      </x:c>
      <x:c r="D107" s="22" t="n">
        <x:v>422.8774</x:v>
      </x:c>
      <x:c r="E107" s="22" t="n">
        <x:f>C107*D107</x:f>
        <x:v>422.8774</x:v>
      </x:c>
      <x:c r="F107" t="str">
        <x:v>Yes</x:v>
      </x:c>
    </x:row>
    <x:row r="108">
      <x:c r="A108" t="str">
        <x:v>Heavy Lift Vessel, non-LTSA</x:v>
      </x:c>
      <x:c r="B108" t="str">
        <x:v>HL_SP_003</x:v>
      </x:c>
      <x:c r="C108" s="22" t="n">
        <x:v>1</x:v>
      </x:c>
      <x:c r="D108" s="22" t="n">
        <x:v>483.9065</x:v>
      </x:c>
      <x:c r="E108" s="22" t="n">
        <x:f>C108*D108</x:f>
        <x:v>483.9065</x:v>
      </x:c>
      <x:c r="F108" t="str">
        <x:v>Yes</x:v>
      </x:c>
    </x:row>
    <x:row r="109">
      <x:c r="A109" t="str">
        <x:v>Heavy Lift Vessel, non-LTSA</x:v>
      </x:c>
      <x:c r="B109" t="str">
        <x:v>HL_SP_004</x:v>
      </x:c>
      <x:c r="C109" s="22" t="n">
        <x:v>2</x:v>
      </x:c>
      <x:c r="D109" s="22" t="n">
        <x:v>91.286</x:v>
      </x:c>
      <x:c r="E109" s="22" t="n">
        <x:f>C109*D109</x:f>
        <x:v>182.572</x:v>
      </x:c>
      <x:c r="F109" t="str">
        <x:v>Yes</x:v>
      </x:c>
    </x:row>
    <x:row r="110">
      <x:c r="A110" t="str">
        <x:v>Heavy Lift Vessel, non-LTSA</x:v>
      </x:c>
      <x:c r="B110" t="str">
        <x:v>HL_SP_005</x:v>
      </x:c>
      <x:c r="C110" s="22" t="n">
        <x:v>6</x:v>
      </x:c>
      <x:c r="D110" s="22" t="n">
        <x:v>18.3227</x:v>
      </x:c>
      <x:c r="E110" s="22" t="n">
        <x:f>C110*D110</x:f>
        <x:v>109.93620000000001</x:v>
      </x:c>
      <x:c r="F110" t="str">
        <x:v>Yes</x:v>
      </x:c>
    </x:row>
    <x:row r="111">
      <x:c r="A111" t="str">
        <x:v>Heavy Lift Vessel, non-LTSA</x:v>
      </x:c>
      <x:c r="B111" t="str">
        <x:v>HL_SP_006</x:v>
      </x:c>
      <x:c r="C111" s="22" t="n">
        <x:v>1</x:v>
      </x:c>
      <x:c r="D111" s="22" t="n">
        <x:v>212.3134</x:v>
      </x:c>
      <x:c r="E111" s="22" t="n">
        <x:f>C111*D111</x:f>
        <x:v>212.3134</x:v>
      </x:c>
      <x:c r="F111" t="str">
        <x:v>Yes</x:v>
      </x:c>
    </x:row>
    <x:row r="112">
      <x:c r="A112" t="str">
        <x:v>Heavy Lift Vessel, non-LTSA</x:v>
      </x:c>
      <x:c r="B112" t="str">
        <x:v>HL_SP_007</x:v>
      </x:c>
      <x:c r="C112" s="22" t="n">
        <x:v>1</x:v>
      </x:c>
      <x:c r="D112" s="22" t="n">
        <x:v>526.8968</x:v>
      </x:c>
      <x:c r="E112" s="22" t="n">
        <x:f>C112*D112</x:f>
        <x:v>526.8968</x:v>
      </x:c>
      <x:c r="F112" t="str">
        <x:v>Yes</x:v>
      </x:c>
    </x:row>
    <x:row r="113">
      <x:c r="A113" t="str">
        <x:v>Heavy Lift Vessel, non-LTSA</x:v>
      </x:c>
      <x:c r="B113" t="str">
        <x:v>HL_SP_008</x:v>
      </x:c>
      <x:c r="C113" s="22" t="n">
        <x:v>1</x:v>
      </x:c>
      <x:c r="D113" s="22" t="n">
        <x:v>756.4646</x:v>
      </x:c>
      <x:c r="E113" s="22" t="n">
        <x:f>C113*D113</x:f>
        <x:v>756.4646</x:v>
      </x:c>
      <x:c r="F113" t="str">
        <x:v>Yes</x:v>
      </x:c>
    </x:row>
    <x:row r="114">
      <x:c r="A114" t="str">
        <x:v>Heavy Lift Vessel, non-LTSA</x:v>
      </x:c>
      <x:c r="B114" t="str">
        <x:v>HL_SP_009</x:v>
      </x:c>
      <x:c r="C114" s="22" t="n">
        <x:v>1</x:v>
      </x:c>
      <x:c r="D114" s="22" t="n">
        <x:v>2916.1907</x:v>
      </x:c>
      <x:c r="E114" s="22" t="n">
        <x:f>C114*D114</x:f>
        <x:v>2916.1907</x:v>
      </x:c>
      <x:c r="F114" t="str">
        <x:v>Yes</x:v>
      </x:c>
    </x:row>
    <x:row r="115">
      <x:c r="A115" t="str">
        <x:v>Heavy Lift Vessel, non-LTSA</x:v>
      </x:c>
      <x:c r="B115" t="str">
        <x:v>HL_SP_010</x:v>
      </x:c>
      <x:c r="C115" s="22" t="n">
        <x:v>0</x:v>
      </x:c>
      <x:c r="D115" s="22" t="n">
        <x:v>0</x:v>
      </x:c>
      <x:c r="E115" s="22" t="n">
        <x:f>C115*D115</x:f>
        <x:v>0</x:v>
      </x:c>
      <x:c r="F115" t="str">
        <x:v>No</x:v>
      </x:c>
    </x:row>
    <x:row r="116">
      <x:c r="A116" t="str">
        <x:v>Heavy Lift Vessel, non-LTSA</x:v>
      </x:c>
      <x:c r="B116" t="str">
        <x:v>HL_SP_011</x:v>
      </x:c>
      <x:c r="C116" s="22" t="n">
        <x:v>8</x:v>
      </x:c>
      <x:c r="D116" s="22" t="n">
        <x:v>473.263</x:v>
      </x:c>
      <x:c r="E116" s="22" t="n">
        <x:f>C116*D116</x:f>
        <x:v>3786.104</x:v>
      </x:c>
      <x:c r="F116" t="str">
        <x:v>Yes</x:v>
      </x:c>
    </x:row>
    <x:row r="117">
      <x:c r="A117" t="str">
        <x:v>Heavy Lift Vessel, non-LTSA</x:v>
      </x:c>
      <x:c r="B117" t="str">
        <x:v>HL_SP_012</x:v>
      </x:c>
      <x:c r="C117" s="22" t="n">
        <x:v>8</x:v>
      </x:c>
      <x:c r="D117" s="22" t="n">
        <x:v>150.2107</x:v>
      </x:c>
      <x:c r="E117" s="22" t="n">
        <x:f>C117*D117</x:f>
        <x:v>1201.6856</x:v>
      </x:c>
      <x:c r="F117" t="str">
        <x:v>Yes</x:v>
      </x:c>
    </x:row>
    <x:row r="118">
      <x:c r="A118" t="str">
        <x:v>Heavy Lift Vessel, non-LTSA</x:v>
      </x:c>
      <x:c r="B118" t="str">
        <x:v>HL_SP_013</x:v>
      </x:c>
      <x:c r="C118" s="22" t="n">
        <x:v>0</x:v>
      </x:c>
      <x:c r="D118" s="22" t="n">
        <x:v>0</x:v>
      </x:c>
      <x:c r="E118" s="22" t="n">
        <x:f>C118*D118</x:f>
        <x:v>0</x:v>
      </x:c>
      <x:c r="F118" t="str">
        <x:v>No</x:v>
      </x:c>
    </x:row>
    <x:row r="119">
      <x:c r="A119" t="str">
        <x:v>Heavy Lift Vessel, non-LTSA</x:v>
      </x:c>
      <x:c r="B119" t="str">
        <x:v>HL_SP_014</x:v>
      </x:c>
      <x:c r="C119" s="22" t="n">
        <x:v>0</x:v>
      </x:c>
      <x:c r="D119" s="22" t="n">
        <x:v>0</x:v>
      </x:c>
      <x:c r="E119" s="22" t="n">
        <x:f>C119*D119</x:f>
        <x:v>0</x:v>
      </x:c>
      <x:c r="F119" t="str">
        <x:v>No</x:v>
      </x:c>
    </x:row>
    <x:row r="120">
      <x:c r="A120" t="str">
        <x:v>Heavy Lift Vessel, non-LTSA</x:v>
      </x:c>
      <x:c r="B120" t="str">
        <x:v>HL_SP_015</x:v>
      </x:c>
      <x:c r="C120" s="22" t="n">
        <x:v>0</x:v>
      </x:c>
      <x:c r="D120" s="22" t="n">
        <x:v>0</x:v>
      </x:c>
      <x:c r="E120" s="22" t="n">
        <x:f>C120*D120</x:f>
        <x:v>0</x:v>
      </x:c>
      <x:c r="F120" t="str">
        <x:v>No</x:v>
      </x:c>
    </x:row>
    <x:row r="121">
      <x:c r="A121" t="str">
        <x:v>Heavy Lift Vessel, non-LTSA</x:v>
      </x:c>
      <x:c r="B121" t="str">
        <x:v>HL_SP_016</x:v>
      </x:c>
      <x:c r="C121" s="22" t="n">
        <x:v>0</x:v>
      </x:c>
      <x:c r="D121" s="22" t="n">
        <x:v>0</x:v>
      </x:c>
      <x:c r="E121" s="22" t="n">
        <x:f>C121*D121</x:f>
        <x:v>0</x:v>
      </x:c>
      <x:c r="F121" t="str">
        <x:v>No</x:v>
      </x:c>
    </x:row>
    <x:row r="122">
      <x:c r="A122" t="str">
        <x:v>Heavy Lift Vessel, non-LTSA</x:v>
      </x:c>
      <x:c r="B122" t="str">
        <x:v>HL_SP_017</x:v>
      </x:c>
      <x:c r="C122" s="22" t="n">
        <x:v>0</x:v>
      </x:c>
      <x:c r="D122" s="22" t="n">
        <x:v>0</x:v>
      </x:c>
      <x:c r="E122" s="22" t="n">
        <x:f>C122*D122</x:f>
        <x:v>0</x:v>
      </x:c>
      <x:c r="F122" t="str">
        <x:v>No</x:v>
      </x:c>
    </x:row>
    <x:row r="123">
      <x:c r="A123" t="str">
        <x:v>Heavy Lift Vessel, non-LTSA</x:v>
      </x:c>
      <x:c r="B123" t="str">
        <x:v>HL_SP_018</x:v>
      </x:c>
      <x:c r="C123" s="22" t="n">
        <x:v>2</x:v>
      </x:c>
      <x:c r="D123" s="22" t="n">
        <x:v>808.1099</x:v>
      </x:c>
      <x:c r="E123" s="22" t="n">
        <x:f>C123*D123</x:f>
        <x:v>1616.2198</x:v>
      </x:c>
      <x:c r="F123" t="str">
        <x:v>Yes</x:v>
      </x:c>
    </x:row>
    <x:row r="124">
      <x:c r="A124" t="str">
        <x:v>Heavy Lift Vessel, non-LTSA</x:v>
      </x:c>
      <x:c r="B124" t="str">
        <x:v>HL_SP_019</x:v>
      </x:c>
      <x:c r="C124" s="22" t="n">
        <x:v>6</x:v>
      </x:c>
      <x:c r="D124" s="22" t="n">
        <x:v>0</x:v>
      </x:c>
      <x:c r="E124" s="22" t="n">
        <x:f>C124*D124</x:f>
        <x:v>0</x:v>
      </x:c>
      <x:c r="F124" t="str">
        <x:v>Yes</x:v>
      </x:c>
    </x:row>
    <x:row r="125">
      <x:c r="A125" t="str">
        <x:v>Heavy Lift Vessel, non-LTSA</x:v>
      </x:c>
      <x:c r="B125" t="str">
        <x:v>HL_SP_020</x:v>
      </x:c>
      <x:c r="C125" s="22" t="n">
        <x:v>6</x:v>
      </x:c>
      <x:c r="D125" s="22" t="n">
        <x:v>0</x:v>
      </x:c>
      <x:c r="E125" s="22" t="n">
        <x:f>C125*D125</x:f>
        <x:v>0</x:v>
      </x:c>
      <x:c r="F125" t="str">
        <x:v>Yes</x:v>
      </x:c>
    </x:row>
    <x:row r="126">
      <x:c r="A126" t="str">
        <x:v>Heavy Lift Vessel, non-LTSA</x:v>
      </x:c>
      <x:c r="B126" t="str">
        <x:v>HL_SP_021</x:v>
      </x:c>
      <x:c r="C126" s="22" t="n">
        <x:v>13</x:v>
      </x:c>
      <x:c r="D126" s="22" t="n">
        <x:v>16.8331</x:v>
      </x:c>
      <x:c r="E126" s="22" t="n">
        <x:f>C126*D126</x:f>
        <x:v>218.83030000000002</x:v>
      </x:c>
      <x:c r="F126" t="str">
        <x:v>Yes</x:v>
      </x:c>
    </x:row>
    <x:row r="127">
      <x:c r="A127" t="str">
        <x:v>Heavy Lift Vessel, non-LTSA</x:v>
      </x:c>
      <x:c r="B127" t="str">
        <x:v>HL_SP_022</x:v>
      </x:c>
      <x:c r="C127" s="22" t="n">
        <x:v>6</x:v>
      </x:c>
      <x:c r="D127" s="22" t="n">
        <x:v>107.4487</x:v>
      </x:c>
      <x:c r="E127" s="22" t="n">
        <x:f>C127*D127</x:f>
        <x:v>644.6922</x:v>
      </x:c>
      <x:c r="F127" t="str">
        <x:v>Yes</x:v>
      </x:c>
    </x:row>
    <x:row r="128">
      <x:c r="A128" t="str">
        <x:v>Heavy Lift Vessel, non-LTSA</x:v>
      </x:c>
      <x:c r="B128" t="str">
        <x:v>HL_SP_023</x:v>
      </x:c>
      <x:c r="C128" s="22" t="n">
        <x:v>6</x:v>
      </x:c>
      <x:c r="D128" s="22" t="n">
        <x:v>0</x:v>
      </x:c>
      <x:c r="E128" s="22" t="n">
        <x:f>C128*D128</x:f>
        <x:v>0</x:v>
      </x:c>
      <x:c r="F128" t="str">
        <x:v>Yes</x:v>
      </x:c>
    </x:row>
    <x:row r="129">
      <x:c r="A129" t="str">
        <x:v>Heavy Lift Vessel, non-LTSA</x:v>
      </x:c>
      <x:c r="B129" t="str">
        <x:v>HL_SP_024</x:v>
      </x:c>
      <x:c r="C129" s="22" t="n">
        <x:v>6</x:v>
      </x:c>
      <x:c r="D129" s="22" t="n">
        <x:v>0</x:v>
      </x:c>
      <x:c r="E129" s="22" t="n">
        <x:f>C129*D129</x:f>
        <x:v>0</x:v>
      </x:c>
      <x:c r="F129" t="str">
        <x:v>Yes</x:v>
      </x:c>
    </x:row>
    <x:row r="130">
      <x:c r="A130" t="str">
        <x:v>Heavy Lift Vessel, non-LTSA</x:v>
      </x:c>
      <x:c r="B130" t="str">
        <x:v>HL_SP_025</x:v>
      </x:c>
      <x:c r="C130" s="22" t="n">
        <x:v>9</x:v>
      </x:c>
      <x:c r="D130" s="22" t="n">
        <x:v>0</x:v>
      </x:c>
      <x:c r="E130" s="22" t="n">
        <x:f>C130*D130</x:f>
        <x:v>0</x:v>
      </x:c>
      <x:c r="F130" t="str">
        <x:v>Yes</x:v>
      </x:c>
    </x:row>
    <x:row r="131">
      <x:c r="A131" t="str">
        <x:v>Heavy Lift Vessel, non-LTSA</x:v>
      </x:c>
      <x:c r="B131" t="str">
        <x:v>HL_SP_026</x:v>
      </x:c>
      <x:c r="C131" s="22" t="n">
        <x:v>10</x:v>
      </x:c>
      <x:c r="D131" s="22" t="n">
        <x:v>0</x:v>
      </x:c>
      <x:c r="E131" s="22" t="n">
        <x:f>C131*D131</x:f>
        <x:v>0</x:v>
      </x:c>
      <x:c r="F131" t="str">
        <x:v>Yes</x:v>
      </x:c>
    </x:row>
    <x:row r="132">
      <x:c r="A132" t="str">
        <x:v>Heavy Lift Vessel, non-LTSA</x:v>
      </x:c>
      <x:c r="B132" t="str">
        <x:v>HL_SP_027</x:v>
      </x:c>
      <x:c r="C132" s="22" t="n">
        <x:v>8</x:v>
      </x:c>
      <x:c r="D132" s="22" t="n">
        <x:v>88.0416</x:v>
      </x:c>
      <x:c r="E132" s="22" t="n">
        <x:f>C132*D132</x:f>
        <x:v>704.3328</x:v>
      </x:c>
      <x:c r="F132" t="str">
        <x:v>Yes</x:v>
      </x:c>
    </x:row>
    <x:row r="133">
      <x:c r="A133" t="str">
        <x:v>Heavy Lift Vessel, non-LTSA</x:v>
      </x:c>
      <x:c r="B133" t="str">
        <x:v>HL_SP_028</x:v>
      </x:c>
      <x:c r="C133" s="22" t="n">
        <x:v>12</x:v>
      </x:c>
      <x:c r="D133" s="22" t="n">
        <x:v>0</x:v>
      </x:c>
      <x:c r="E133" s="22" t="n">
        <x:f>C133*D133</x:f>
        <x:v>0</x:v>
      </x:c>
      <x:c r="F133" t="str">
        <x:v>Yes</x:v>
      </x:c>
    </x:row>
    <x:row r="134">
      <x:c r="A134" t="str">
        <x:v>Heavy Lift Vessel, non-LTSA</x:v>
      </x:c>
      <x:c r="B134" t="str">
        <x:v>HL_SP_029</x:v>
      </x:c>
      <x:c r="C134" s="22" t="n">
        <x:v>12</x:v>
      </x:c>
      <x:c r="D134" s="22" t="n">
        <x:v>0</x:v>
      </x:c>
      <x:c r="E134" s="22" t="n">
        <x:f>C134*D134</x:f>
        <x:v>0</x:v>
      </x:c>
      <x:c r="F134" t="str">
        <x:v>Yes</x:v>
      </x:c>
    </x:row>
    <x:row r="135">
      <x:c r="A135" t="str">
        <x:v>Heavy Lift Vessel, non-LTSA</x:v>
      </x:c>
      <x:c r="B135" t="str">
        <x:v>HL_SP_030</x:v>
      </x:c>
      <x:c r="C135" s="22" t="n">
        <x:v>26</x:v>
      </x:c>
      <x:c r="D135" s="22" t="n">
        <x:v>7.803</x:v>
      </x:c>
      <x:c r="E135" s="22" t="n">
        <x:f>C135*D135</x:f>
        <x:v>202.878</x:v>
      </x:c>
      <x:c r="F135" t="str">
        <x:v>Yes</x:v>
      </x:c>
    </x:row>
    <x:row r="136">
      <x:c r="A136" t="str">
        <x:v>Heavy Lift Vessel, non-LTSA</x:v>
      </x:c>
      <x:c r="B136" t="str">
        <x:v>HL_SP_031</x:v>
      </x:c>
      <x:c r="C136" s="22" t="n">
        <x:v>56</x:v>
      </x:c>
      <x:c r="D136" s="22" t="n">
        <x:v>32.0093</x:v>
      </x:c>
      <x:c r="E136" s="22" t="n">
        <x:f>C136*D136</x:f>
        <x:v>1792.5208000000002</x:v>
      </x:c>
      <x:c r="F136" t="str">
        <x:v>Yes</x:v>
      </x:c>
    </x:row>
    <x:row r="137">
      <x:c r="A137" t="str">
        <x:v>Heavy Lift Vessel, non-LTSA</x:v>
      </x:c>
      <x:c r="B137" t="str">
        <x:v>HL_SP_032</x:v>
      </x:c>
      <x:c r="C137" s="22" t="n">
        <x:v>21</x:v>
      </x:c>
      <x:c r="D137" s="22" t="n">
        <x:v>139.9064</x:v>
      </x:c>
      <x:c r="E137" s="22" t="n">
        <x:f>C137*D137</x:f>
        <x:v>2938.0344</x:v>
      </x:c>
      <x:c r="F137" t="str">
        <x:v>Yes</x:v>
      </x:c>
    </x:row>
    <x:row r="138">
      <x:c r="A138" t="str">
        <x:v>Heavy Lift Vessel, non-LTSA</x:v>
      </x:c>
      <x:c r="B138" t="str">
        <x:v>HL_SP_033</x:v>
      </x:c>
      <x:c r="C138" s="22" t="n">
        <x:v>24</x:v>
      </x:c>
      <x:c r="D138" s="22" t="n">
        <x:v>193.5384</x:v>
      </x:c>
      <x:c r="E138" s="22" t="n">
        <x:f>C138*D138</x:f>
        <x:v>4644.9216</x:v>
      </x:c>
      <x:c r="F138" t="str">
        <x:v>Yes</x:v>
      </x:c>
    </x:row>
    <x:row r="139">
      <x:c r="A139" t="str">
        <x:v>Heavy Lift Vessel, non-LTSA</x:v>
      </x:c>
      <x:c r="B139" t="str">
        <x:v>HL_SP_034</x:v>
      </x:c>
      <x:c r="C139" s="22" t="n">
        <x:v>4</x:v>
      </x:c>
      <x:c r="D139" s="22" t="n">
        <x:v>747.2514</x:v>
      </x:c>
      <x:c r="E139" s="22" t="n">
        <x:f>C139*D139</x:f>
        <x:v>2989.0056</x:v>
      </x:c>
      <x:c r="F139" t="str">
        <x:v>Yes</x:v>
      </x:c>
    </x:row>
    <x:row r="140">
      <x:c r="A140" t="str">
        <x:v>Heavy Lift Vessel, non-LTSA</x:v>
      </x:c>
      <x:c r="B140" t="str">
        <x:v>HL_SP_035</x:v>
      </x:c>
      <x:c r="C140" s="22" t="n">
        <x:v>3</x:v>
      </x:c>
      <x:c r="D140" s="22" t="n">
        <x:v>537.0281</x:v>
      </x:c>
      <x:c r="E140" s="22" t="n">
        <x:f>C140*D140</x:f>
        <x:v>1611.0843</x:v>
      </x:c>
      <x:c r="F140" t="str">
        <x:v>Yes</x:v>
      </x:c>
    </x:row>
    <x:row r="141">
      <x:c r="A141" t="str">
        <x:v>Heavy Lift Vessel, non-LTSA</x:v>
      </x:c>
      <x:c r="B141" t="str">
        <x:v>HL_SP_036</x:v>
      </x:c>
      <x:c r="C141" s="22" t="n">
        <x:v>2</x:v>
      </x:c>
      <x:c r="D141" s="22" t="n">
        <x:v>5360.0898</x:v>
      </x:c>
      <x:c r="E141" s="22" t="n">
        <x:f>C141*D141</x:f>
        <x:v>10720.1796</x:v>
      </x:c>
      <x:c r="F141" t="str">
        <x:v>Yes</x:v>
      </x:c>
    </x:row>
    <x:row r="142">
      <x:c r="A142" t="str">
        <x:v>Heavy Lift Vessel, non-LTSA</x:v>
      </x:c>
      <x:c r="B142" t="str">
        <x:v>HL_SP_037</x:v>
      </x:c>
      <x:c r="C142" s="22" t="n">
        <x:v>9</x:v>
      </x:c>
      <x:c r="D142" s="22" t="n">
        <x:v>60.2343</x:v>
      </x:c>
      <x:c r="E142" s="22" t="n">
        <x:f>C142*D142</x:f>
        <x:v>542.1087</x:v>
      </x:c>
      <x:c r="F142" t="str">
        <x:v>Yes</x:v>
      </x:c>
    </x:row>
    <x:row r="143">
      <x:c r="A143" t="str">
        <x:v>Heavy Lift Vessel, non-LTSA</x:v>
      </x:c>
      <x:c r="B143" t="str">
        <x:v>HL_SP_038</x:v>
      </x:c>
      <x:c r="C143" s="22" t="n">
        <x:v>6</x:v>
      </x:c>
      <x:c r="D143" s="22" t="n">
        <x:v>0</x:v>
      </x:c>
      <x:c r="E143" s="22" t="n">
        <x:f>C143*D143</x:f>
        <x:v>0</x:v>
      </x:c>
      <x:c r="F143" t="str">
        <x:v>Yes</x:v>
      </x:c>
    </x:row>
    <x:row r="144">
      <x:c r="A144" t="str">
        <x:v>Heavy Lift Vessel, non-LTSA</x:v>
      </x:c>
      <x:c r="B144" t="str">
        <x:v>HL_SP_039</x:v>
      </x:c>
      <x:c r="C144" s="22" t="n">
        <x:v>3</x:v>
      </x:c>
      <x:c r="D144" s="22" t="n">
        <x:v>16.1708</x:v>
      </x:c>
      <x:c r="E144" s="22" t="n">
        <x:f>C144*D144</x:f>
        <x:v>48.5124</x:v>
      </x:c>
      <x:c r="F144" t="str">
        <x:v>Yes</x:v>
      </x:c>
    </x:row>
    <x:row r="145">
      <x:c r="A145" t="str">
        <x:v>Heavy Lift Vessel, non-LTSA</x:v>
      </x:c>
      <x:c r="B145" t="str">
        <x:v>HL_SP_040</x:v>
      </x:c>
      <x:c r="C145" s="22" t="n">
        <x:v>20</x:v>
      </x:c>
      <x:c r="D145" s="22" t="n">
        <x:v>29.3188</x:v>
      </x:c>
      <x:c r="E145" s="22" t="n">
        <x:f>C145*D145</x:f>
        <x:v>586.376</x:v>
      </x:c>
      <x:c r="F145" t="str">
        <x:v>Yes</x:v>
      </x:c>
    </x:row>
    <x:row r="146">
      <x:c r="A146" t="str">
        <x:v>Heavy Lift Vessel, non-LTSA</x:v>
      </x:c>
      <x:c r="B146" t="str">
        <x:v>HL_SP_041</x:v>
      </x:c>
      <x:c r="C146" s="22" t="n">
        <x:v>34</x:v>
      </x:c>
      <x:c r="D146" s="22" t="n">
        <x:v>48.5605</x:v>
      </x:c>
      <x:c r="E146" s="22" t="n">
        <x:f>C146*D146</x:f>
        <x:v>1651.057</x:v>
      </x:c>
      <x:c r="F146" t="str">
        <x:v>Yes</x:v>
      </x:c>
    </x:row>
    <x:row r="147">
      <x:c r="A147" t="str">
        <x:v>Heavy Lift Vessel, non-LTSA</x:v>
      </x:c>
      <x:c r="B147" t="str">
        <x:v>HL_SP_042</x:v>
      </x:c>
      <x:c r="C147" s="22" t="n">
        <x:v>1</x:v>
      </x:c>
      <x:c r="D147" s="22" t="n">
        <x:v>0</x:v>
      </x:c>
      <x:c r="E147" s="22" t="n">
        <x:f>C147*D147</x:f>
        <x:v>0</x:v>
      </x:c>
      <x:c r="F147" t="str">
        <x:v>Yes</x:v>
      </x:c>
    </x:row>
    <x:row r="148">
      <x:c r="A148" t="str">
        <x:v>Heavy Lift Vessel, non-LTSA</x:v>
      </x:c>
      <x:c r="B148" t="str">
        <x:v>HL_SP_043</x:v>
      </x:c>
      <x:c r="C148" s="22" t="n">
        <x:v>6</x:v>
      </x:c>
      <x:c r="D148" s="22" t="n">
        <x:v>142.8892</x:v>
      </x:c>
      <x:c r="E148" s="22" t="n">
        <x:f>C148*D148</x:f>
        <x:v>857.3352</x:v>
      </x:c>
      <x:c r="F148" t="str">
        <x:v>Yes</x:v>
      </x:c>
    </x:row>
    <x:row r="149">
      <x:c r="A149" t="str">
        <x:v>Heavy Lift Vessel, non-LTSA</x:v>
      </x:c>
      <x:c r="B149" t="str">
        <x:v>HL_SP_044</x:v>
      </x:c>
      <x:c r="C149" s="22" t="n">
        <x:v>0</x:v>
      </x:c>
      <x:c r="D149" s="22" t="n">
        <x:v>0</x:v>
      </x:c>
      <x:c r="E149" s="22" t="n">
        <x:f>C149*D149</x:f>
        <x:v>0</x:v>
      </x:c>
      <x:c r="F149" t="str">
        <x:v>No</x:v>
      </x:c>
    </x:row>
    <x:row r="150">
      <x:c r="A150" t="str">
        <x:v>Heavy Lift Vessel, non-LTSA</x:v>
      </x:c>
      <x:c r="B150" t="str">
        <x:v>HL_SP_045</x:v>
      </x:c>
      <x:c r="C150" s="22" t="n">
        <x:v>0</x:v>
      </x:c>
      <x:c r="D150" s="22" t="n">
        <x:v>0</x:v>
      </x:c>
      <x:c r="E150" s="22" t="n">
        <x:f>C150*D150</x:f>
        <x:v>0</x:v>
      </x:c>
      <x:c r="F150" t="str">
        <x:v>No</x:v>
      </x:c>
    </x:row>
    <x:row r="151">
      <x:c r="A151" t="str">
        <x:v>Heavy Lift Vessel, non-LTSA</x:v>
      </x:c>
      <x:c r="B151" t="str">
        <x:v>HL_SP_046</x:v>
      </x:c>
      <x:c r="C151" s="22" t="n">
        <x:v>0</x:v>
      </x:c>
      <x:c r="D151" s="22" t="n">
        <x:v>0</x:v>
      </x:c>
      <x:c r="E151" s="22" t="n">
        <x:f>C151*D151</x:f>
        <x:v>0</x:v>
      </x:c>
      <x:c r="F151" t="str">
        <x:v>No</x:v>
      </x:c>
    </x:row>
    <x:row r="152">
      <x:c r="A152" t="str">
        <x:v>Heavy Lift Vessel, non-LTSA</x:v>
      </x:c>
      <x:c r="B152" t="str">
        <x:v>HL_SP_047</x:v>
      </x:c>
      <x:c r="C152" s="22" t="n">
        <x:v>2</x:v>
      </x:c>
      <x:c r="D152" s="22" t="n">
        <x:v>37.7233</x:v>
      </x:c>
      <x:c r="E152" s="22" t="n">
        <x:f>C152*D152</x:f>
        <x:v>75.4466</x:v>
      </x:c>
      <x:c r="F152" t="str">
        <x:v>Yes</x:v>
      </x:c>
    </x:row>
    <x:row r="153">
      <x:c r="A153" t="str">
        <x:v>Heavy Lift Vessel, non-LTSA</x:v>
      </x:c>
      <x:c r="B153" t="str">
        <x:v>HL_SP_048</x:v>
      </x:c>
      <x:c r="C153" s="22" t="n">
        <x:v>13</x:v>
      </x:c>
      <x:c r="D153" s="22" t="n">
        <x:v>3.3182</x:v>
      </x:c>
      <x:c r="E153" s="22" t="n">
        <x:f>C153*D153</x:f>
        <x:v>43.1366</x:v>
      </x:c>
      <x:c r="F153" t="str">
        <x:v>Yes</x:v>
      </x:c>
    </x:row>
    <x:row r="154">
      <x:c r="A154" t="str">
        <x:v>Heavy Lift Vessel, non-LTSA</x:v>
      </x:c>
      <x:c r="B154" t="str">
        <x:v>HL_SP_049</x:v>
      </x:c>
      <x:c r="C154" s="22" t="n">
        <x:v>25</x:v>
      </x:c>
      <x:c r="D154" s="22" t="n">
        <x:v>95.3825</x:v>
      </x:c>
      <x:c r="E154" s="22" t="n">
        <x:f>C154*D154</x:f>
        <x:v>2384.5625</x:v>
      </x:c>
      <x:c r="F154" t="str">
        <x:v>Yes</x:v>
      </x:c>
    </x:row>
    <x:row r="155">
      <x:c r="A155" t="str">
        <x:v>Heavy Lift Vessel, non-LTSA</x:v>
      </x:c>
      <x:c r="B155" t="str">
        <x:v>HL_SP_050</x:v>
      </x:c>
      <x:c r="C155" s="22" t="n">
        <x:v>63</x:v>
      </x:c>
      <x:c r="D155" s="22" t="n">
        <x:v>5.0184</x:v>
      </x:c>
      <x:c r="E155" s="22" t="n">
        <x:f>C155*D155</x:f>
        <x:v>316.1592</x:v>
      </x:c>
      <x:c r="F155" t="str">
        <x:v>Yes</x:v>
      </x:c>
    </x:row>
    <x:row r="156">
      <x:c r="A156" t="str">
        <x:v>Heavy Lift Vessel, non-LTSA</x:v>
      </x:c>
      <x:c r="B156" t="str">
        <x:v>HL_SP_051</x:v>
      </x:c>
      <x:c r="C156" s="22" t="n">
        <x:v>4</x:v>
      </x:c>
      <x:c r="D156" s="22" t="n">
        <x:v>89.1389</x:v>
      </x:c>
      <x:c r="E156" s="22" t="n">
        <x:f>C156*D156</x:f>
        <x:v>356.5556</x:v>
      </x:c>
      <x:c r="F156" t="str">
        <x:v>Yes</x:v>
      </x:c>
    </x:row>
    <x:row r="157">
      <x:c r="A157" t="str">
        <x:v>Heavy Lift Vessel, non-LTSA</x:v>
      </x:c>
      <x:c r="B157" t="str">
        <x:v>HL_SP_052</x:v>
      </x:c>
      <x:c r="C157" s="22" t="n">
        <x:v>4</x:v>
      </x:c>
      <x:c r="D157" s="22" t="n">
        <x:v>91.2298</x:v>
      </x:c>
      <x:c r="E157" s="22" t="n">
        <x:f>C157*D157</x:f>
        <x:v>364.9192</x:v>
      </x:c>
      <x:c r="F157" t="str">
        <x:v>Yes</x:v>
      </x:c>
    </x:row>
    <x:row r="158">
      <x:c r="A158" t="str">
        <x:v>Heavy Lift Vessel, non-LTSA</x:v>
      </x:c>
      <x:c r="B158" t="str">
        <x:v>HL_SP_053</x:v>
      </x:c>
      <x:c r="C158" s="22" t="n">
        <x:v>1</x:v>
      </x:c>
      <x:c r="D158" s="22" t="n">
        <x:v>78.7249</x:v>
      </x:c>
      <x:c r="E158" s="22" t="n">
        <x:f>C158*D158</x:f>
        <x:v>78.7249</x:v>
      </x:c>
      <x:c r="F158" t="str">
        <x:v>Yes</x:v>
      </x:c>
    </x:row>
    <x:row r="159">
      <x:c r="A159" t="str">
        <x:v>Heavy Lift Vessel, non-LTSA</x:v>
      </x:c>
      <x:c r="B159" t="str">
        <x:v>HL_SP_054</x:v>
      </x:c>
      <x:c r="C159" s="22" t="n">
        <x:v>1</x:v>
      </x:c>
      <x:c r="D159" s="22" t="n">
        <x:v>10.6573</x:v>
      </x:c>
      <x:c r="E159" s="22" t="n">
        <x:f>C159*D159</x:f>
        <x:v>10.6573</x:v>
      </x:c>
      <x:c r="F159" t="str">
        <x:v>Yes</x:v>
      </x:c>
    </x:row>
    <x:row r="160">
      <x:c r="A160" t="str">
        <x:v>Heavy Lift Vessel, non-LTSA</x:v>
      </x:c>
      <x:c r="B160" t="str">
        <x:v>HL_SP_055</x:v>
      </x:c>
      <x:c r="C160" s="22" t="n">
        <x:v>20</x:v>
      </x:c>
      <x:c r="D160" s="22" t="n">
        <x:v>11.8525</x:v>
      </x:c>
      <x:c r="E160" s="22" t="n">
        <x:f>C160*D160</x:f>
        <x:v>237.04999999999998</x:v>
      </x:c>
      <x:c r="F160" t="str">
        <x:v>Yes</x:v>
      </x:c>
    </x:row>
    <x:row r="161">
      <x:c r="A161" t="str">
        <x:v>Heavy Lift Vessel, non-LTSA</x:v>
      </x:c>
      <x:c r="B161" t="str">
        <x:v>HL_SP_056</x:v>
      </x:c>
      <x:c r="C161" s="22" t="n">
        <x:v>10</x:v>
      </x:c>
      <x:c r="D161" s="22" t="n">
        <x:v>2.9997</x:v>
      </x:c>
      <x:c r="E161" s="22" t="n">
        <x:f>C161*D161</x:f>
        <x:v>29.997</x:v>
      </x:c>
      <x:c r="F161" t="str">
        <x:v>Yes</x:v>
      </x:c>
    </x:row>
    <x:row r="162">
      <x:c r="A162" t="str">
        <x:v>Heavy Lift Vessel, non-LTSA</x:v>
      </x:c>
      <x:c r="B162" t="str">
        <x:v>HL_SP_057</x:v>
      </x:c>
      <x:c r="C162" s="22" t="n">
        <x:v>7</x:v>
      </x:c>
      <x:c r="D162" s="22" t="n">
        <x:v>2453.5141</x:v>
      </x:c>
      <x:c r="E162" s="22" t="n">
        <x:f>C162*D162</x:f>
        <x:v>17174.5987</x:v>
      </x:c>
      <x:c r="F162" t="str">
        <x:v>Yes</x:v>
      </x:c>
    </x:row>
    <x:row r="163">
      <x:c r="A163" t="str">
        <x:v>Heavy Lift Vessel, non-LTSA</x:v>
      </x:c>
      <x:c r="B163" t="str">
        <x:v>HL_SP_058</x:v>
      </x:c>
      <x:c r="C163" s="22" t="n">
        <x:v>16</x:v>
      </x:c>
      <x:c r="D163" s="22" t="n">
        <x:v>91.265</x:v>
      </x:c>
      <x:c r="E163" s="22" t="n">
        <x:f>C163*D163</x:f>
        <x:v>1460.24</x:v>
      </x:c>
      <x:c r="F163" t="str">
        <x:v>Yes</x:v>
      </x:c>
    </x:row>
    <x:row r="164">
      <x:c r="A164" t="str">
        <x:v>Heavy Lift Vessel, non-LTSA</x:v>
      </x:c>
      <x:c r="B164" t="str">
        <x:v>HL_SP_059</x:v>
      </x:c>
      <x:c r="C164" s="22" t="n">
        <x:v>1</x:v>
      </x:c>
      <x:c r="D164" s="22" t="n">
        <x:v>385.021</x:v>
      </x:c>
      <x:c r="E164" s="22" t="n">
        <x:f>C164*D164</x:f>
        <x:v>385.021</x:v>
      </x:c>
      <x:c r="F164" t="str">
        <x:v>Yes</x:v>
      </x:c>
    </x:row>
    <x:row r="165">
      <x:c r="A165" t="str">
        <x:v>Heavy Lift Vessel, non-LTSA</x:v>
      </x:c>
      <x:c r="B165" t="str">
        <x:v>HL_SP_060</x:v>
      </x:c>
      <x:c r="C165" s="22" t="n">
        <x:v>2</x:v>
      </x:c>
      <x:c r="D165" s="22" t="n">
        <x:v>1678.0831</x:v>
      </x:c>
      <x:c r="E165" s="22" t="n">
        <x:f>C165*D165</x:f>
        <x:v>3356.1662</x:v>
      </x:c>
      <x:c r="F165" t="str">
        <x:v>Yes</x:v>
      </x:c>
    </x:row>
    <x:row r="166">
      <x:c r="A166" t="str">
        <x:v>Heavy Lift Vessel, non-LTSA</x:v>
      </x:c>
      <x:c r="B166" t="str">
        <x:v>HL_SP_061</x:v>
      </x:c>
      <x:c r="C166" s="22" t="n">
        <x:v>2</x:v>
      </x:c>
      <x:c r="D166" s="22" t="n">
        <x:v>588.8047</x:v>
      </x:c>
      <x:c r="E166" s="22" t="n">
        <x:f>C166*D166</x:f>
        <x:v>1177.6094</x:v>
      </x:c>
      <x:c r="F166" t="str">
        <x:v>Yes</x:v>
      </x:c>
    </x:row>
    <x:row r="167">
      <x:c r="A167" t="str">
        <x:v>Heavy Lift Vessel, non-LTSA</x:v>
      </x:c>
      <x:c r="B167" t="str">
        <x:v>HL_SP_062</x:v>
      </x:c>
      <x:c r="C167" s="22" t="n">
        <x:v>1</x:v>
      </x:c>
      <x:c r="D167" s="22" t="n">
        <x:v>639.0815</x:v>
      </x:c>
      <x:c r="E167" s="22" t="n">
        <x:f>C167*D167</x:f>
        <x:v>639.0815</x:v>
      </x:c>
      <x:c r="F167" t="str">
        <x:v>Yes</x:v>
      </x:c>
    </x:row>
    <x:row r="168">
      <x:c r="A168" t="str">
        <x:v>Heavy Lift Vessel, non-LTSA</x:v>
      </x:c>
      <x:c r="B168" t="str">
        <x:v>HL_SP_063</x:v>
      </x:c>
      <x:c r="C168" s="22" t="n">
        <x:v>2</x:v>
      </x:c>
      <x:c r="D168" s="22" t="n">
        <x:v>803.9291</x:v>
      </x:c>
      <x:c r="E168" s="22" t="n">
        <x:f>C168*D168</x:f>
        <x:v>1607.8582</x:v>
      </x:c>
      <x:c r="F168" t="str">
        <x:v>Yes</x:v>
      </x:c>
    </x:row>
    <x:row r="169">
      <x:c r="A169" t="str">
        <x:v>Heavy Lift Vessel, non-LTSA</x:v>
      </x:c>
      <x:c r="B169" t="str">
        <x:v>HL_SP_064</x:v>
      </x:c>
      <x:c r="C169" s="22" t="n">
        <x:v>2</x:v>
      </x:c>
      <x:c r="D169" s="22" t="n">
        <x:v>632.6999</x:v>
      </x:c>
      <x:c r="E169" s="22" t="n">
        <x:f>C169*D169</x:f>
        <x:v>1265.3998</x:v>
      </x:c>
      <x:c r="F169" t="str">
        <x:v>Yes</x:v>
      </x:c>
    </x:row>
    <x:row r="170">
      <x:c r="A170" t="str">
        <x:v>Heavy Lift Vessel, non-LTSA</x:v>
      </x:c>
      <x:c r="B170" t="str">
        <x:v>HL_SP_065</x:v>
      </x:c>
      <x:c r="C170" s="22" t="n">
        <x:v>2</x:v>
      </x:c>
      <x:c r="D170" s="22" t="n">
        <x:v>275.8311</x:v>
      </x:c>
      <x:c r="E170" s="22" t="n">
        <x:f>C170*D170</x:f>
        <x:v>551.6622</x:v>
      </x:c>
      <x:c r="F170" t="str">
        <x:v>Yes</x:v>
      </x:c>
    </x:row>
    <x:row r="171">
      <x:c r="A171" t="str">
        <x:v>Heavy Lift Vessel, non-LTSA</x:v>
      </x:c>
      <x:c r="B171" t="str">
        <x:v>HL_SP_066</x:v>
      </x:c>
      <x:c r="C171" s="22" t="n">
        <x:v>1</x:v>
      </x:c>
      <x:c r="D171" s="22" t="n">
        <x:v>116.1552</x:v>
      </x:c>
      <x:c r="E171" s="22" t="n">
        <x:f>C171*D171</x:f>
        <x:v>116.1552</x:v>
      </x:c>
      <x:c r="F171" t="str">
        <x:v>Yes</x:v>
      </x:c>
    </x:row>
    <x:row r="172">
      <x:c r="A172" t="str">
        <x:v>Heavy Lift Vessel, non-LTSA</x:v>
      </x:c>
      <x:c r="B172" t="str">
        <x:v>HL_SP_067</x:v>
      </x:c>
      <x:c r="C172" s="22" t="n">
        <x:v>2</x:v>
      </x:c>
      <x:c r="D172" s="22" t="n">
        <x:v>13.44</x:v>
      </x:c>
      <x:c r="E172" s="22" t="n">
        <x:f>C172*D172</x:f>
        <x:v>26.88</x:v>
      </x:c>
      <x:c r="F172" t="str">
        <x:v>Yes</x:v>
      </x:c>
    </x:row>
    <x:row r="173">
      <x:c r="A173" t="str">
        <x:v>Heavy Lift Vessel, non-LTSA</x:v>
      </x:c>
      <x:c r="B173" t="str">
        <x:v>HL_SP_068</x:v>
      </x:c>
      <x:c r="C173" s="22" t="n">
        <x:v>1</x:v>
      </x:c>
      <x:c r="D173" s="22" t="n">
        <x:v>194.1184</x:v>
      </x:c>
      <x:c r="E173" s="22" t="n">
        <x:f>C173*D173</x:f>
        <x:v>194.1184</x:v>
      </x:c>
      <x:c r="F173" t="str">
        <x:v>Yes</x:v>
      </x:c>
    </x:row>
    <x:row r="174">
      <x:c r="A174" t="str">
        <x:v>Heavy Lift Vessel, non-LTSA</x:v>
      </x:c>
      <x:c r="B174" t="str">
        <x:v>HL_SP_069</x:v>
      </x:c>
      <x:c r="C174" s="22" t="n">
        <x:v>1</x:v>
      </x:c>
      <x:c r="D174" s="22" t="n">
        <x:v>88.0768</x:v>
      </x:c>
      <x:c r="E174" s="22" t="n">
        <x:f>C174*D174</x:f>
        <x:v>88.0768</x:v>
      </x:c>
      <x:c r="F174" t="str">
        <x:v>Yes</x:v>
      </x:c>
    </x:row>
    <x:row r="175">
      <x:c r="A175" t="str">
        <x:v>Heavy Lift Vessel, non-LTSA</x:v>
      </x:c>
      <x:c r="B175" t="str">
        <x:v>HL_SP_070</x:v>
      </x:c>
      <x:c r="C175" s="22" t="n">
        <x:v>2</x:v>
      </x:c>
      <x:c r="D175" s="22" t="n">
        <x:v>88.3232</x:v>
      </x:c>
      <x:c r="E175" s="22" t="n">
        <x:f>C175*D175</x:f>
        <x:v>176.6464</x:v>
      </x:c>
      <x:c r="F175" t="str">
        <x:v>Yes</x:v>
      </x:c>
    </x:row>
    <x:row r="176">
      <x:c r="A176" t="str">
        <x:v>Heavy Lift Vessel, non-LTSA</x:v>
      </x:c>
      <x:c r="B176" t="str">
        <x:v>HL_SP_071</x:v>
      </x:c>
      <x:c r="C176" s="22" t="n">
        <x:v>1</x:v>
      </x:c>
      <x:c r="D176" s="22" t="n">
        <x:v>78.176</x:v>
      </x:c>
      <x:c r="E176" s="22" t="n">
        <x:f>C176*D176</x:f>
        <x:v>78.176</x:v>
      </x:c>
      <x:c r="F176" t="str">
        <x:v>Yes</x:v>
      </x:c>
    </x:row>
    <x:row r="177">
      <x:c r="A177" t="str">
        <x:v>Heavy Lift Vessel, non-LTSA</x:v>
      </x:c>
      <x:c r="B177" t="str">
        <x:v>HL_SP_072</x:v>
      </x:c>
      <x:c r="C177" s="22" t="n">
        <x:v>2</x:v>
      </x:c>
      <x:c r="D177" s="22" t="n">
        <x:v>369.152</x:v>
      </x:c>
      <x:c r="E177" s="22" t="n">
        <x:f>C177*D177</x:f>
        <x:v>738.304</x:v>
      </x:c>
      <x:c r="F177" t="str">
        <x:v>Yes</x:v>
      </x:c>
    </x:row>
    <x:row r="178">
      <x:c r="A178" t="str">
        <x:v>Heavy Lift Vessel, non-LTSA</x:v>
      </x:c>
      <x:c r="B178" t="str">
        <x:v>HL_SP_073</x:v>
      </x:c>
      <x:c r="C178" s="22" t="n">
        <x:v>2</x:v>
      </x:c>
      <x:c r="D178" s="22" t="n">
        <x:v>244.3896</x:v>
      </x:c>
      <x:c r="E178" s="22" t="n">
        <x:f>C178*D178</x:f>
        <x:v>488.7792</x:v>
      </x:c>
      <x:c r="F178" t="str">
        <x:v>Yes</x:v>
      </x:c>
    </x:row>
    <x:row r="179">
      <x:c r="A179" t="str">
        <x:v>Heavy Lift Vessel, non-LTSA</x:v>
      </x:c>
      <x:c r="B179" t="str">
        <x:v>HL_SP_074</x:v>
      </x:c>
      <x:c r="C179" s="22" t="n">
        <x:v>2</x:v>
      </x:c>
      <x:c r="D179" s="22" t="n">
        <x:v>73.2368</x:v>
      </x:c>
      <x:c r="E179" s="22" t="n">
        <x:f>C179*D179</x:f>
        <x:v>146.4736</x:v>
      </x:c>
      <x:c r="F179" t="str">
        <x:v>Yes</x:v>
      </x:c>
    </x:row>
    <x:row r="180">
      <x:c r="A180" t="str">
        <x:v>Heavy Lift Vessel, non-LTSA</x:v>
      </x:c>
      <x:c r="B180" t="str">
        <x:v>HL_SP_075</x:v>
      </x:c>
      <x:c r="C180" s="22" t="n">
        <x:v>2</x:v>
      </x:c>
      <x:c r="D180" s="22" t="n">
        <x:v>369.152</x:v>
      </x:c>
      <x:c r="E180" s="22" t="n">
        <x:f>C180*D180</x:f>
        <x:v>738.304</x:v>
      </x:c>
      <x:c r="F180" t="str">
        <x:v>Yes</x:v>
      </x:c>
    </x:row>
    <x:row r="181">
      <x:c r="A181" t="str">
        <x:v>Heavy Lift Vessel, non-LTSA</x:v>
      </x:c>
      <x:c r="B181" t="str">
        <x:v>HL_SP_076</x:v>
      </x:c>
      <x:c r="C181" s="22" t="n">
        <x:v>2</x:v>
      </x:c>
      <x:c r="D181" s="22" t="n">
        <x:v>635.068</x:v>
      </x:c>
      <x:c r="E181" s="22" t="n">
        <x:f>C181*D181</x:f>
        <x:v>1270.136</x:v>
      </x:c>
      <x:c r="F181" t="str">
        <x:v>Yes</x:v>
      </x:c>
    </x:row>
    <x:row r="182">
      <x:c r="A182" t="str">
        <x:v>Heavy Lift Vessel, non-LTSA</x:v>
      </x:c>
      <x:c r="B182" t="str">
        <x:v>HL_SP_077</x:v>
      </x:c>
      <x:c r="C182" s="22" t="n">
        <x:v>2</x:v>
      </x:c>
      <x:c r="D182" s="22" t="n">
        <x:v>73.2368</x:v>
      </x:c>
      <x:c r="E182" s="22" t="n">
        <x:f>C182*D182</x:f>
        <x:v>146.4736</x:v>
      </x:c>
      <x:c r="F182" t="str">
        <x:v>Yes</x:v>
      </x:c>
    </x:row>
    <x:row r="183">
      <x:c r="A183" t="str">
        <x:v>Heavy Lift Vessel, non-LTSA</x:v>
      </x:c>
      <x:c r="B183" t="str">
        <x:v>HL_SP_078</x:v>
      </x:c>
      <x:c r="C183" s="22" t="n">
        <x:v>2</x:v>
      </x:c>
      <x:c r="D183" s="22" t="n">
        <x:v>244.3896</x:v>
      </x:c>
      <x:c r="E183" s="22" t="n">
        <x:f>C183*D183</x:f>
        <x:v>488.7792</x:v>
      </x:c>
      <x:c r="F183" t="str">
        <x:v>Yes</x:v>
      </x:c>
    </x:row>
    <x:row r="184">
      <x:c r="A184" t="str">
        <x:v>Heavy Lift Vessel, non-LTSA</x:v>
      </x:c>
      <x:c r="B184" t="str">
        <x:v>HL_SP_079</x:v>
      </x:c>
      <x:c r="C184" s="22" t="n">
        <x:v>2</x:v>
      </x:c>
      <x:c r="D184" s="22" t="n">
        <x:v>661.6792</x:v>
      </x:c>
      <x:c r="E184" s="22" t="n">
        <x:f>C184*D184</x:f>
        <x:v>1323.3584</x:v>
      </x:c>
      <x:c r="F184" t="str">
        <x:v>Yes</x:v>
      </x:c>
    </x:row>
    <x:row r="185">
      <x:c r="A185" t="str">
        <x:v>Heavy Lift Vessel, non-LTSA</x:v>
      </x:c>
      <x:c r="B185" t="str">
        <x:v>HL_SP_080</x:v>
      </x:c>
      <x:c r="C185" s="22" t="n">
        <x:v>2</x:v>
      </x:c>
      <x:c r="D185" s="22" t="n">
        <x:v>0</x:v>
      </x:c>
      <x:c r="E185" s="22" t="n">
        <x:f>C185*D185</x:f>
        <x:v>0</x:v>
      </x:c>
      <x:c r="F185" t="str">
        <x:v>Yes</x:v>
      </x:c>
    </x:row>
    <x:row r="186">
      <x:c r="A186" t="str">
        <x:v>Heavy Lift Vessel, non-LTSA</x:v>
      </x:c>
      <x:c r="B186" t="str">
        <x:v>HL_SP_081</x:v>
      </x:c>
      <x:c r="C186" s="22" t="n">
        <x:v>20</x:v>
      </x:c>
      <x:c r="D186" s="22" t="n">
        <x:v>33.9181</x:v>
      </x:c>
      <x:c r="E186" s="22" t="n">
        <x:f>C186*D186</x:f>
        <x:v>678.3620000000001</x:v>
      </x:c>
      <x:c r="F186" t="str">
        <x:v>Yes</x:v>
      </x:c>
    </x:row>
    <x:row r="187">
      <x:c r="A187" t="str">
        <x:v>Heavy Lift Vessel, non-LTSA</x:v>
      </x:c>
      <x:c r="B187" t="str">
        <x:v>HL_SP_082</x:v>
      </x:c>
      <x:c r="C187" s="22" t="n">
        <x:v>2</x:v>
      </x:c>
      <x:c r="D187" s="22" t="n">
        <x:v>207.6312</x:v>
      </x:c>
      <x:c r="E187" s="22" t="n">
        <x:f>C187*D187</x:f>
        <x:v>415.2624</x:v>
      </x:c>
      <x:c r="F187" t="str">
        <x:v>Yes</x:v>
      </x:c>
    </x:row>
    <x:row r="188">
      <x:c r="A188" t="str">
        <x:v>Heavy Lift Vessel, non-LTSA</x:v>
      </x:c>
      <x:c r="B188" t="str">
        <x:v>HL_SP_083</x:v>
      </x:c>
      <x:c r="C188" s="22" t="n">
        <x:v>4</x:v>
      </x:c>
      <x:c r="D188" s="22" t="n">
        <x:v>416.9592</x:v>
      </x:c>
      <x:c r="E188" s="22" t="n">
        <x:f>C188*D188</x:f>
        <x:v>1667.8368</x:v>
      </x:c>
      <x:c r="F188" t="str">
        <x:v>Yes</x:v>
      </x:c>
    </x:row>
    <x:row r="189">
      <x:c r="A189" t="str">
        <x:v>Heavy Lift Vessel, non-LTSA</x:v>
      </x:c>
      <x:c r="B189" t="str">
        <x:v>HL_SP_084</x:v>
      </x:c>
      <x:c r="C189" s="22" t="n">
        <x:v>8</x:v>
      </x:c>
      <x:c r="D189" s="22" t="n">
        <x:v>309.0846</x:v>
      </x:c>
      <x:c r="E189" s="22" t="n">
        <x:f>C189*D189</x:f>
        <x:v>2472.6768</x:v>
      </x:c>
      <x:c r="F189" t="str">
        <x:v>Yes</x:v>
      </x:c>
    </x:row>
    <x:row r="190">
      <x:c r="A190" t="str">
        <x:v>Heavy Lift Vessel, non-LTSA</x:v>
      </x:c>
      <x:c r="B190" t="str">
        <x:v>HL_SP_085</x:v>
      </x:c>
      <x:c r="C190" s="22" t="n">
        <x:v>1</x:v>
      </x:c>
      <x:c r="D190" s="22" t="n">
        <x:v>243.7488</x:v>
      </x:c>
      <x:c r="E190" s="22" t="n">
        <x:f>C190*D190</x:f>
        <x:v>243.7488</x:v>
      </x:c>
      <x:c r="F190" t="str">
        <x:v>Yes</x:v>
      </x:c>
    </x:row>
    <x:row r="191">
      <x:c r="A191" t="str">
        <x:v>Heavy Lift Vessel, non-LTSA</x:v>
      </x:c>
      <x:c r="B191" t="str">
        <x:v>HL_SP_086</x:v>
      </x:c>
      <x:c r="C191" s="22" t="n">
        <x:v>4</x:v>
      </x:c>
      <x:c r="D191" s="22" t="n">
        <x:v>513.2069</x:v>
      </x:c>
      <x:c r="E191" s="22" t="n">
        <x:f>C191*D191</x:f>
        <x:v>2052.8276</x:v>
      </x:c>
      <x:c r="F191" t="str">
        <x:v>Yes</x:v>
      </x:c>
    </x:row>
    <x:row r="192">
      <x:c r="A192" t="str">
        <x:v>Heavy Lift Vessel, non-LTSA</x:v>
      </x:c>
      <x:c r="B192" t="str">
        <x:v>HL_SP_087</x:v>
      </x:c>
      <x:c r="C192" s="22" t="n">
        <x:v>18</x:v>
      </x:c>
      <x:c r="D192" s="22" t="n">
        <x:v>2.2493</x:v>
      </x:c>
      <x:c r="E192" s="22" t="n">
        <x:f>C192*D192</x:f>
        <x:v>40.487399999999994</x:v>
      </x:c>
      <x:c r="F192" t="str">
        <x:v>Yes</x:v>
      </x:c>
    </x:row>
    <x:row r="193">
      <x:c r="A193" t="str">
        <x:v>Heavy Lift Vessel, non-LTSA</x:v>
      </x:c>
      <x:c r="B193" t="str">
        <x:v>HL_SP_088</x:v>
      </x:c>
      <x:c r="C193" s="22" t="n">
        <x:v>24</x:v>
      </x:c>
      <x:c r="D193" s="22" t="n">
        <x:v>34.7884</x:v>
      </x:c>
      <x:c r="E193" s="22" t="n">
        <x:f>C193*D193</x:f>
        <x:v>834.9216000000001</x:v>
      </x:c>
      <x:c r="F193" t="str">
        <x:v>Yes</x:v>
      </x:c>
    </x:row>
    <x:row r="194">
      <x:c r="A194" t="str">
        <x:v>Heavy Lift Vessel, non-LTSA</x:v>
      </x:c>
      <x:c r="B194" t="str">
        <x:v>HL_SP_089</x:v>
      </x:c>
      <x:c r="C194" s="22" t="n">
        <x:v>24</x:v>
      </x:c>
      <x:c r="D194" s="22" t="n">
        <x:v>52.9234</x:v>
      </x:c>
      <x:c r="E194" s="22" t="n">
        <x:f>C194*D194</x:f>
        <x:v>1270.1616</x:v>
      </x:c>
      <x:c r="F194" t="str">
        <x:v>Yes</x:v>
      </x:c>
    </x:row>
    <x:row r="195">
      <x:c r="A195" t="str">
        <x:v>Heavy Lift Vessel, non-LTSA</x:v>
      </x:c>
      <x:c r="B195" t="str">
        <x:v>HL_SP_090</x:v>
      </x:c>
      <x:c r="C195" s="22" t="n">
        <x:v>12</x:v>
      </x:c>
      <x:c r="D195" s="22" t="n">
        <x:v>22.0325</x:v>
      </x:c>
      <x:c r="E195" s="22" t="n">
        <x:f>C195*D195</x:f>
        <x:v>264.39</x:v>
      </x:c>
      <x:c r="F195" t="str">
        <x:v>Yes</x:v>
      </x:c>
    </x:row>
    <x:row r="196">
      <x:c r="A196" t="str">
        <x:v>Heavy Lift Vessel, non-LTSA</x:v>
      </x:c>
      <x:c r="B196" t="str">
        <x:v>HL_SP_091</x:v>
      </x:c>
      <x:c r="C196" s="22" t="n">
        <x:v>2</x:v>
      </x:c>
      <x:c r="D196" s="22" t="n">
        <x:v>0</x:v>
      </x:c>
      <x:c r="E196" s="22" t="n">
        <x:f>C196*D196</x:f>
        <x:v>0</x:v>
      </x:c>
      <x:c r="F196" t="str">
        <x:v>Yes</x:v>
      </x:c>
    </x:row>
    <x:row r="197">
      <x:c r="A197" t="str">
        <x:v>Heavy Lift Vessel, non-LTSA</x:v>
      </x:c>
      <x:c r="B197" t="str">
        <x:v>HL_SP_092</x:v>
      </x:c>
      <x:c r="C197" s="22" t="n">
        <x:v>3</x:v>
      </x:c>
      <x:c r="D197" s="22" t="n">
        <x:v>0</x:v>
      </x:c>
      <x:c r="E197" s="22" t="n">
        <x:f>C197*D197</x:f>
        <x:v>0</x:v>
      </x:c>
      <x:c r="F197" t="str">
        <x:v>Yes</x:v>
      </x:c>
    </x:row>
    <x:row r="198">
      <x:c r="A198" t="str">
        <x:v>Heavy Lift Vessel, non-LTSA</x:v>
      </x:c>
      <x:c r="B198" t="str">
        <x:v>HL_SP_093</x:v>
      </x:c>
      <x:c r="C198" s="22" t="n">
        <x:v>2</x:v>
      </x:c>
      <x:c r="D198" s="22" t="n">
        <x:v>309.3454</x:v>
      </x:c>
      <x:c r="E198" s="22" t="n">
        <x:f>C198*D198</x:f>
        <x:v>618.6908</x:v>
      </x:c>
      <x:c r="F198" t="str">
        <x:v>Yes</x:v>
      </x:c>
    </x:row>
    <x:row r="199">
      <x:c r="A199" t="str">
        <x:v>Heavy Lift Vessel, non-LTSA</x:v>
      </x:c>
      <x:c r="B199" t="str">
        <x:v>HL_SP_094</x:v>
      </x:c>
      <x:c r="C199" s="22" t="n">
        <x:v>4</x:v>
      </x:c>
      <x:c r="D199" s="22" t="n">
        <x:v>388.879</x:v>
      </x:c>
      <x:c r="E199" s="22" t="n">
        <x:f>C199*D199</x:f>
        <x:v>1555.516</x:v>
      </x:c>
      <x:c r="F199" t="str">
        <x:v>Yes</x:v>
      </x:c>
    </x:row>
    <x:row r="200">
      <x:c r="A200" t="str">
        <x:v>Heavy Lift Vessel, non-LTSA</x:v>
      </x:c>
      <x:c r="B200" t="str">
        <x:v>HL_SP_095</x:v>
      </x:c>
      <x:c r="C200" s="22" t="n">
        <x:v>10</x:v>
      </x:c>
      <x:c r="D200" s="22" t="n">
        <x:v>3.3681</x:v>
      </x:c>
      <x:c r="E200" s="22" t="n">
        <x:f>C200*D200</x:f>
        <x:v>33.681</x:v>
      </x:c>
      <x:c r="F200" t="str">
        <x:v>Yes</x:v>
      </x:c>
    </x:row>
    <x:row r="201">
      <x:c r="A201" t="str">
        <x:v>Heavy Lift Vessel, non-LTSA</x:v>
      </x:c>
      <x:c r="B201" t="str">
        <x:v>HL_SP_096</x:v>
      </x:c>
      <x:c r="C201" s="22" t="n">
        <x:v>4</x:v>
      </x:c>
      <x:c r="D201" s="22" t="n">
        <x:v>207.9038</x:v>
      </x:c>
      <x:c r="E201" s="22" t="n">
        <x:f>C201*D201</x:f>
        <x:v>831.6152</x:v>
      </x:c>
      <x:c r="F201" t="str">
        <x:v>Yes</x:v>
      </x:c>
    </x:row>
    <x:row r="202">
      <x:c r="A202" t="str">
        <x:v>Heavy Lift Vessel, non-LTSA</x:v>
      </x:c>
      <x:c r="B202" t="str">
        <x:v>HL_SP_097</x:v>
      </x:c>
      <x:c r="C202" s="22" t="n">
        <x:v>6</x:v>
      </x:c>
      <x:c r="D202" s="22" t="n">
        <x:v>208.7199</x:v>
      </x:c>
      <x:c r="E202" s="22" t="n">
        <x:f>C202*D202</x:f>
        <x:v>1252.3193999999999</x:v>
      </x:c>
      <x:c r="F202" t="str">
        <x:v>Yes</x:v>
      </x:c>
    </x:row>
    <x:row r="203">
      <x:c r="A203" t="str">
        <x:v>Heavy Lift Vessel, non-LTSA</x:v>
      </x:c>
      <x:c r="B203" t="str">
        <x:v>HL_SP_098</x:v>
      </x:c>
      <x:c r="C203" s="22" t="n">
        <x:v>6</x:v>
      </x:c>
      <x:c r="D203" s="22" t="n">
        <x:v>235.0671</x:v>
      </x:c>
      <x:c r="E203" s="22" t="n">
        <x:f>C203*D203</x:f>
        <x:v>1410.4026000000001</x:v>
      </x:c>
      <x:c r="F203" t="str">
        <x:v>Yes</x:v>
      </x:c>
    </x:row>
    <x:row r="204">
      <x:c r="A204" t="str">
        <x:v>Heavy Lift Vessel, non-LTSA</x:v>
      </x:c>
      <x:c r="B204" t="str">
        <x:v>HL_SP_099</x:v>
      </x:c>
      <x:c r="C204" s="22" t="n">
        <x:v>6</x:v>
      </x:c>
      <x:c r="D204" s="22" t="n">
        <x:v>171.4362</x:v>
      </x:c>
      <x:c r="E204" s="22" t="n">
        <x:f>C204*D204</x:f>
        <x:v>1028.6172000000001</x:v>
      </x:c>
      <x:c r="F204" t="str">
        <x:v>Yes</x:v>
      </x:c>
    </x:row>
    <x:row r="205">
      <x:c r="A205" t="str">
        <x:v>Heavy Lift Vessel, non-LTSA</x:v>
      </x:c>
      <x:c r="B205" t="str">
        <x:v>HL_SP_100</x:v>
      </x:c>
      <x:c r="C205" s="22" t="n">
        <x:v>6</x:v>
      </x:c>
      <x:c r="D205" s="22" t="n">
        <x:v>303.9104</x:v>
      </x:c>
      <x:c r="E205" s="22" t="n">
        <x:f>C205*D205</x:f>
        <x:v>1823.4624</x:v>
      </x:c>
      <x:c r="F205" t="str">
        <x:v>Yes</x:v>
      </x:c>
    </x:row>
    <x:row r="206">
      <x:c r="A206" t="str">
        <x:v>Heavy Lift Vessel, non-LTSA</x:v>
      </x:c>
      <x:c r="B206" t="str">
        <x:v>HL_SP_101</x:v>
      </x:c>
      <x:c r="C206" s="22" t="n">
        <x:v>14</x:v>
      </x:c>
      <x:c r="D206" s="22" t="n">
        <x:v>241.4981</x:v>
      </x:c>
      <x:c r="E206" s="22" t="n">
        <x:f>C206*D206</x:f>
        <x:v>3380.9734</x:v>
      </x:c>
      <x:c r="F206" t="str">
        <x:v>Yes</x:v>
      </x:c>
    </x:row>
    <x:row r="207">
      <x:c r="A207" t="str">
        <x:v>Heavy Lift Vessel, non-LTSA</x:v>
      </x:c>
      <x:c r="B207" t="str">
        <x:v>HL_SP_102</x:v>
      </x:c>
      <x:c r="C207" s="22" t="n">
        <x:v>1</x:v>
      </x:c>
      <x:c r="D207" s="22" t="n">
        <x:v>466.5765</x:v>
      </x:c>
      <x:c r="E207" s="22" t="n">
        <x:f>C207*D207</x:f>
        <x:v>466.5765</x:v>
      </x:c>
      <x:c r="F207" t="str">
        <x:v>Yes</x:v>
      </x:c>
    </x:row>
    <x:row r="208">
      <x:c r="A208" t="str">
        <x:v>Heavy Lift Vessel, non-LTSA</x:v>
      </x:c>
      <x:c r="B208" t="str">
        <x:v>HL_SP_103</x:v>
      </x:c>
      <x:c r="C208" s="22" t="n">
        <x:v>2</x:v>
      </x:c>
      <x:c r="D208" s="22" t="n">
        <x:v>463.5315</x:v>
      </x:c>
      <x:c r="E208" s="22" t="n">
        <x:f>C208*D208</x:f>
        <x:v>927.063</x:v>
      </x:c>
      <x:c r="F208" t="str">
        <x:v>Yes</x:v>
      </x:c>
    </x:row>
    <x:row r="209">
      <x:c r="A209" t="str">
        <x:v>Heavy Lift Vessel, non-LTSA</x:v>
      </x:c>
      <x:c r="B209" t="str">
        <x:v>HL_SP_104</x:v>
      </x:c>
      <x:c r="C209" s="22" t="n">
        <x:v>2</x:v>
      </x:c>
      <x:c r="D209" s="22" t="n">
        <x:v>28.2932</x:v>
      </x:c>
      <x:c r="E209" s="22" t="n">
        <x:f>C209*D209</x:f>
        <x:v>56.5864</x:v>
      </x:c>
      <x:c r="F209" t="str">
        <x:v>Yes</x:v>
      </x:c>
    </x:row>
    <x:row r="210">
      <x:c r="A210" t="str">
        <x:v>Heavy Lift Vessel, non-LTSA</x:v>
      </x:c>
      <x:c r="B210" t="str">
        <x:v>HL_SP_105</x:v>
      </x:c>
      <x:c r="C210" s="22" t="n">
        <x:v>1</x:v>
      </x:c>
      <x:c r="D210" s="22" t="n">
        <x:v>504.4694</x:v>
      </x:c>
      <x:c r="E210" s="22" t="n">
        <x:f>C210*D210</x:f>
        <x:v>504.4694</x:v>
      </x:c>
      <x:c r="F210" t="str">
        <x:v>Yes</x:v>
      </x:c>
    </x:row>
    <x:row r="211">
      <x:c r="A211" t="str">
        <x:v>Heavy Lift Vessel, non-LTSA</x:v>
      </x:c>
      <x:c r="B211" t="str">
        <x:v>HL_SP_106</x:v>
      </x:c>
      <x:c r="C211" s="22" t="n">
        <x:v>1</x:v>
      </x:c>
      <x:c r="D211" s="22" t="n">
        <x:v>240.3999</x:v>
      </x:c>
      <x:c r="E211" s="22" t="n">
        <x:f>C211*D211</x:f>
        <x:v>240.3999</x:v>
      </x:c>
      <x:c r="F211" t="str">
        <x:v>Yes</x:v>
      </x:c>
    </x:row>
    <x:row r="212">
      <x:c r="A212" t="str">
        <x:v>Heavy Lift Vessel, non-LTSA</x:v>
      </x:c>
      <x:c r="B212" t="str">
        <x:v>HL_SP_107</x:v>
      </x:c>
      <x:c r="C212" s="22" t="n">
        <x:v>10</x:v>
      </x:c>
      <x:c r="D212" s="22" t="n">
        <x:v>4423.3857</x:v>
      </x:c>
      <x:c r="E212" s="22" t="n">
        <x:f>C212*D212</x:f>
        <x:v>44233.856999999996</x:v>
      </x:c>
      <x:c r="F212" t="str">
        <x:v>Yes</x:v>
      </x:c>
    </x:row>
    <x:row r="213">
      <x:c r="A213" t="str">
        <x:v>Heavy Lift Vessel, non-LTSA</x:v>
      </x:c>
      <x:c r="B213" t="str">
        <x:v>HL_SP_108</x:v>
      </x:c>
      <x:c r="C213" s="22" t="n">
        <x:v>6</x:v>
      </x:c>
      <x:c r="D213" s="22" t="n">
        <x:v>1988.6888</x:v>
      </x:c>
      <x:c r="E213" s="22" t="n">
        <x:f>C213*D213</x:f>
        <x:v>11932.1328</x:v>
      </x:c>
      <x:c r="F213" t="str">
        <x:v>Yes</x:v>
      </x:c>
    </x:row>
    <x:row r="214">
      <x:c r="A214" t="str">
        <x:v>Heavy Lift Vessel, non-LTSA</x:v>
      </x:c>
      <x:c r="B214" t="str">
        <x:v>HL_SP_109</x:v>
      </x:c>
      <x:c r="C214" s="22" t="n">
        <x:v>1</x:v>
      </x:c>
      <x:c r="D214" s="22" t="n">
        <x:v>17722.7897</x:v>
      </x:c>
      <x:c r="E214" s="22" t="n">
        <x:f>C214*D214</x:f>
        <x:v>17722.7897</x:v>
      </x:c>
      <x:c r="F214" t="str">
        <x:v>Yes</x:v>
      </x:c>
    </x:row>
    <x:row r="215">
      <x:c r="A215" t="str">
        <x:v>Heavy Lift Vessel, non-LTSA</x:v>
      </x:c>
      <x:c r="B215" t="str">
        <x:v>HL_SP_110</x:v>
      </x:c>
      <x:c r="C215" s="22" t="n">
        <x:v>8</x:v>
      </x:c>
      <x:c r="D215" s="22" t="n">
        <x:v>0</x:v>
      </x:c>
      <x:c r="E215" s="22" t="n">
        <x:f>C215*D215</x:f>
        <x:v>0</x:v>
      </x:c>
      <x:c r="F215" t="str">
        <x:v>Yes</x:v>
      </x:c>
    </x:row>
    <x:row r="216">
      <x:c r="A216" t="str">
        <x:v>Heavy Lift Vessel, non-LTSA</x:v>
      </x:c>
      <x:c r="B216" t="str">
        <x:v>HL_SP_111</x:v>
      </x:c>
      <x:c r="C216" s="22" t="n">
        <x:v>5</x:v>
      </x:c>
      <x:c r="D216" s="22" t="n">
        <x:v>10959.4244</x:v>
      </x:c>
      <x:c r="E216" s="22" t="n">
        <x:f>C216*D216</x:f>
        <x:v>54797.122</x:v>
      </x:c>
      <x:c r="F216" t="str">
        <x:v>Yes</x:v>
      </x:c>
    </x:row>
    <x:row r="217">
      <x:c r="A217" t="str">
        <x:v>Heavy Lift Vessel, non-LTSA</x:v>
      </x:c>
      <x:c r="B217" t="str">
        <x:v>HL_SP_112</x:v>
      </x:c>
      <x:c r="C217" s="22" t="n">
        <x:v>2</x:v>
      </x:c>
      <x:c r="D217" s="22" t="n">
        <x:v>1392.16</x:v>
      </x:c>
      <x:c r="E217" s="22" t="n">
        <x:f>C217*D217</x:f>
        <x:v>2784.32</x:v>
      </x:c>
      <x:c r="F217" t="str">
        <x:v>Yes</x:v>
      </x:c>
    </x:row>
    <x:row r="218">
      <x:c r="A218" t="str">
        <x:v>Heavy Lift Vessel, non-LTSA</x:v>
      </x:c>
      <x:c r="B218" t="str">
        <x:v>HL_SP_113</x:v>
      </x:c>
      <x:c r="C218" s="22" t="n">
        <x:v>2</x:v>
      </x:c>
      <x:c r="D218" s="22" t="n">
        <x:v>1264.1045</x:v>
      </x:c>
      <x:c r="E218" s="22" t="n">
        <x:f>C218*D218</x:f>
        <x:v>2528.209</x:v>
      </x:c>
      <x:c r="F218" t="str">
        <x:v>Yes</x:v>
      </x:c>
    </x:row>
    <x:row r="219">
      <x:c r="A219" t="str">
        <x:v>Heavy Lift Vessel, non-LTSA</x:v>
      </x:c>
      <x:c r="B219" t="str">
        <x:v>HL_SP_114</x:v>
      </x:c>
      <x:c r="C219" s="22" t="n">
        <x:v>2</x:v>
      </x:c>
      <x:c r="D219" s="22" t="n">
        <x:v>697.2725</x:v>
      </x:c>
      <x:c r="E219" s="22" t="n">
        <x:f>C219*D219</x:f>
        <x:v>1394.545</x:v>
      </x:c>
      <x:c r="F219" t="str">
        <x:v>Yes</x:v>
      </x:c>
    </x:row>
    <x:row r="220">
      <x:c r="A220" t="str">
        <x:v>Heavy Lift Vessel, non-LTSA</x:v>
      </x:c>
      <x:c r="B220" t="str">
        <x:v>HL_SP_115</x:v>
      </x:c>
      <x:c r="C220" s="22" t="n">
        <x:v>1</x:v>
      </x:c>
      <x:c r="D220" s="22" t="n">
        <x:v>0</x:v>
      </x:c>
      <x:c r="E220" s="22" t="n">
        <x:f>C220*D220</x:f>
        <x:v>0</x:v>
      </x:c>
      <x:c r="F220" t="str">
        <x:v>Yes</x:v>
      </x:c>
    </x:row>
    <x:row r="221">
      <x:c r="A221" t="str">
        <x:v>Heavy Lift Vessel, non-LTSA</x:v>
      </x:c>
      <x:c r="B221" t="str">
        <x:v>HL_SP_116</x:v>
      </x:c>
      <x:c r="C221" s="22" t="n">
        <x:v>1</x:v>
      </x:c>
      <x:c r="D221" s="22" t="n">
        <x:v>2178.6577</x:v>
      </x:c>
      <x:c r="E221" s="22" t="n">
        <x:f>C221*D221</x:f>
        <x:v>2178.6577</x:v>
      </x:c>
      <x:c r="F221" t="str">
        <x:v>Yes</x:v>
      </x:c>
    </x:row>
    <x:row r="222">
      <x:c r="A222" t="str">
        <x:v>Heavy Lift Vessel, non-LTSA</x:v>
      </x:c>
      <x:c r="B222" t="str">
        <x:v>HL_SP_117</x:v>
      </x:c>
      <x:c r="C222" s="22" t="n">
        <x:v>1</x:v>
      </x:c>
      <x:c r="D222" s="22" t="n">
        <x:v>0</x:v>
      </x:c>
      <x:c r="E222" s="22" t="n">
        <x:f>C222*D222</x:f>
        <x:v>0</x:v>
      </x:c>
      <x:c r="F222" t="str">
        <x:v>Yes</x:v>
      </x:c>
    </x:row>
    <x:row r="223">
      <x:c r="A223" t="str">
        <x:v>Heavy Lift Vessel, non-LTSA</x:v>
      </x:c>
      <x:c r="B223" t="str">
        <x:v>HL_SP_118</x:v>
      </x:c>
      <x:c r="C223" s="22" t="n">
        <x:v>1</x:v>
      </x:c>
      <x:c r="D223" s="22" t="n">
        <x:v>0</x:v>
      </x:c>
      <x:c r="E223" s="22" t="n">
        <x:f>C223*D223</x:f>
        <x:v>0</x:v>
      </x:c>
      <x:c r="F223" t="str">
        <x:v>Yes</x:v>
      </x:c>
    </x:row>
    <x:row r="224">
      <x:c r="A224" t="str">
        <x:v>Heavy Lift Vessel, non-LTSA</x:v>
      </x:c>
      <x:c r="B224" t="str">
        <x:v>HL_SP_119</x:v>
      </x:c>
      <x:c r="C224" s="22" t="n">
        <x:v>1</x:v>
      </x:c>
      <x:c r="D224" s="22" t="n">
        <x:v>1817.6738</x:v>
      </x:c>
      <x:c r="E224" s="22" t="n">
        <x:f>C224*D224</x:f>
        <x:v>1817.6738</x:v>
      </x:c>
      <x:c r="F224" t="str">
        <x:v>Yes</x:v>
      </x:c>
    </x:row>
    <x:row r="225">
      <x:c r="A225" t="str">
        <x:v>Heavy Lift Vessel, non-LTSA</x:v>
      </x:c>
      <x:c r="B225" t="str">
        <x:v>HL_SP_120</x:v>
      </x:c>
      <x:c r="C225" s="22" t="n">
        <x:v>1</x:v>
      </x:c>
      <x:c r="D225" s="22" t="n">
        <x:v>872.0393</x:v>
      </x:c>
      <x:c r="E225" s="22" t="n">
        <x:f>C225*D225</x:f>
        <x:v>872.0393</x:v>
      </x:c>
      <x:c r="F225" t="str">
        <x:v>Yes</x:v>
      </x:c>
    </x:row>
    <x:row r="226">
      <x:c r="A226" t="str">
        <x:v>Heavy Lift Vessel, non-LTSA</x:v>
      </x:c>
      <x:c r="B226" t="str">
        <x:v>HL_SP_121</x:v>
      </x:c>
      <x:c r="C226" s="22" t="n">
        <x:v>2</x:v>
      </x:c>
      <x:c r="D226" s="22" t="n">
        <x:v>35.1053</x:v>
      </x:c>
      <x:c r="E226" s="22" t="n">
        <x:f>C226*D226</x:f>
        <x:v>70.2106</x:v>
      </x:c>
      <x:c r="F22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7e0a2470ab647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8" hidden="0" customWidth="1"/>
    <x:col min="4" max="4" width="62" hidden="0" customWidth="1"/>
  </x:cols>
  <x:sheetData>
    <x:row r="1">
      <x:c r="A1" s="30" t="str">
        <x:v>Spare-Parts Summary and Stock-Value Checks</x:v>
      </x:c>
      <x:c r="B1" s="30"/>
      <x:c r="C1" s="30"/>
      <x:c r="D1" s="30"/>
      <x:c r="E1" s="30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Indicator</x:v>
      </x:c>
      <x:c r="B3" s="15" t="str">
        <x:v>Passenger Vessel, LTSA</x:v>
      </x:c>
      <x:c r="C3" s="15" t="str">
        <x:v>Heavy Lift Vessel, non-LTSA</x:v>
      </x:c>
      <x:c r="D3" s="15" t="str">
        <x:v>Formula / Comment</x:v>
      </x:c>
    </x:row>
    <x:row r="4">
      <x:c r="A4" t="str">
        <x:v>Spare-parts records</x:v>
      </x:c>
      <x:c r="B4" s="22" t="n">
        <x:f>COUNTIF(SpareParts_Calc!$A$2:$A$226,"Passenger Vessel, LTSA")</x:f>
        <x:v>104</x:v>
      </x:c>
      <x:c r="C4" s="22" t="n">
        <x:f>COUNTIF(SpareParts_Calc!$A$2:$A$226,"Heavy Lift Vessel, non-LTSA")</x:f>
        <x:v>121</x:v>
      </x:c>
      <x:c r="D4" t="str">
        <x:v>COUNTIF from SpareParts_Calc</x:v>
      </x:c>
    </x:row>
    <x:row r="5">
      <x:c r="A5" t="str">
        <x:v>Spare-parts records with stock above zero</x:v>
      </x:c>
      <x:c r="B5" s="22" t="n">
        <x:f>COUNTIFS(SpareParts_Calc!$A$2:$A$226,"Passenger Vessel, LTSA",SpareParts_Calc!$F$2:$F$226,"Yes")</x:f>
        <x:v>16</x:v>
      </x:c>
      <x:c r="C5" s="22" t="n">
        <x:f>COUNTIFS(SpareParts_Calc!$A$2:$A$226,"Heavy Lift Vessel, non-LTSA",SpareParts_Calc!$F$2:$F$226,"Yes")</x:f>
        <x:v>112</x:v>
      </x:c>
      <x:c r="D5" t="str">
        <x:v>COUNTIFS Stock_Above_Zero = Yes</x:v>
      </x:c>
    </x:row>
    <x:row r="6">
      <x:c r="A6" t="str">
        <x:v>Total stock quantity</x:v>
      </x:c>
      <x:c r="B6" s="22" t="n">
        <x:f>SUMIFS(SpareParts_Calc!$C$2:$C$226,SpareParts_Calc!$A$2:$A$226,"Passenger Vessel, LTSA")</x:f>
        <x:v>30</x:v>
      </x:c>
      <x:c r="C6" s="22" t="n">
        <x:f>SUMIFS(SpareParts_Calc!$C$2:$C$226,SpareParts_Calc!$A$2:$A$226,"Heavy Lift Vessel, non-LTSA")</x:f>
        <x:v>777</x:v>
      </x:c>
      <x:c r="D6" t="str">
        <x:v>SUMIFS stock quantity</x:v>
      </x:c>
    </x:row>
    <x:row r="7">
      <x:c r="A7" t="str">
        <x:v>Spare-parts stock-value indicator, USD</x:v>
      </x:c>
      <x:c r="B7" s="22" t="n">
        <x:f>SUMIFS(SpareParts_Calc!$E$2:$E$226,SpareParts_Calc!$A$2:$A$226,"Passenger Vessel, LTSA")</x:f>
        <x:v>7804.8665</x:v>
      </x:c>
      <x:c r="C7" s="22" t="n">
        <x:f>SUMIFS(SpareParts_Calc!$E$2:$E$226,SpareParts_Calc!$A$2:$A$226,"Heavy Lift Vessel, non-LTSA")</x:f>
        <x:v>244603.77890000003</x:v>
      </x:c>
      <x:c r="D7" t="str">
        <x:v>SUMIFS stock value = stock × average price</x:v>
      </x:c>
    </x:row>
    <x:row r="8">
      <x:c r="A8" t="str">
        <x:v>Sum of average prices only, audit warning</x:v>
      </x:c>
      <x:c r="B8" s="22" t="n">
        <x:v>15612.2809</x:v>
      </x:c>
      <x:c r="C8" s="22" t="n">
        <x:v>74869.7075</x:v>
      </x:c>
      <x:c r="D8" t="str">
        <x:v>Audit only; this is not inventory value</x:v>
      </x:c>
    </x:row>
    <x:row r="9">
      <x:c r="A9" t="str">
        <x:v>Spare-parts stock-value ratio</x:v>
      </x:c>
      <x:c r="B9" s="26" t="n">
        <x:f>C7/B7</x:f>
        <x:v>31.33990554482899</x:v>
      </x:c>
      <x:c r="C9" s="26" t="str">
        <x:f>""</x:f>
      </x:c>
      <x:c r="D9" t="str">
        <x:v>= Heavy Lift stock value / Passenger stock value</x:v>
      </x:c>
    </x:row>
    <x:row r="10">
      <x:c r="A10" t="str">
        <x:v>Duplicate Average Price columns identical</x:v>
      </x:c>
      <x:c r="B10" s="22" t="str">
        <x:v>True</x:v>
      </x:c>
      <x:c r="C10" s="22" t="str">
        <x:v>True</x:v>
      </x:c>
      <x:c r="D10" t="str">
        <x:v>Audit of uploaded spare-parts files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264779ff6de4f4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75" hidden="0" customWidth="1"/>
  </x:cols>
  <x:sheetData>
    <x:row r="1">
      <x:c r="A1" s="30" t="str">
        <x:v>Defect Summary: Heavy Lift Vessel Only</x:v>
      </x:c>
      <x:c r="B1" s="30"/>
      <x:c r="C1" s="30"/>
      <x:c r="D1" s="30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Defect indicator</x:v>
      </x:c>
      <x:c r="B3" s="15" t="str">
        <x:v>Heavy Lift Vessel, non-LTSA</x:v>
      </x:c>
      <x:c r="C3" s="15" t="str">
        <x:v>Comment</x:v>
      </x:c>
    </x:row>
    <x:row r="4">
      <x:c r="A4" t="str">
        <x:v>Total defect records</x:v>
      </x:c>
      <x:c r="B4" s="22" t="n">
        <x:v>99</x:v>
      </x:c>
      <x:c r="C4" t="str">
        <x:v>Defect data not available for Passenger Vessel</x:v>
      </x:c>
    </x:row>
    <x:row r="5">
      <x:c r="A5" t="str">
        <x:v>Closed defect records</x:v>
      </x:c>
      <x:c r="B5" s="22" t="n">
        <x:v>79</x:v>
      </x:c>
      <x:c r="C5" t="str">
        <x:v>Defect Status = Closed</x:v>
      </x:c>
    </x:row>
    <x:row r="6">
      <x:c r="A6" t="str">
        <x:v>Completed defect records</x:v>
      </x:c>
      <x:c r="B6" s="22" t="n">
        <x:v>10</x:v>
      </x:c>
      <x:c r="C6" t="str">
        <x:v>Defect Status = Completed</x:v>
      </x:c>
    </x:row>
    <x:row r="7">
      <x:c r="A7" t="str">
        <x:v>New defect records</x:v>
      </x:c>
      <x:c r="B7" s="22" t="n">
        <x:v>10</x:v>
      </x:c>
      <x:c r="C7" t="str">
        <x:v>Defect Status = New</x:v>
      </x:c>
    </x:row>
    <x:row r="8">
      <x:c r="A8" t="str">
        <x:v>Overdue defect records</x:v>
      </x:c>
      <x:c r="B8" s="22" t="n">
        <x:v>5</x:v>
      </x:c>
      <x:c r="C8" t="str">
        <x:v>Overdue = Yes</x:v>
      </x:c>
    </x:row>
    <x:row r="9">
      <x:c r="A9" t="str">
        <x:v>Critical defect records</x:v>
      </x:c>
      <x:c r="B9" s="22" t="n">
        <x:v>24</x:v>
      </x:c>
      <x:c r="C9" t="str">
        <x:v>Priority = Critical</x:v>
      </x:c>
    </x:row>
    <x:row r="10">
      <x:c r="A10" t="str">
        <x:v>Stand-by critical defect records</x:v>
      </x:c>
      <x:c r="B10" s="22" t="n">
        <x:v>13</x:v>
      </x:c>
      <x:c r="C10" t="str">
        <x:v>Priority = Stand-by Critical</x:v>
      </x:c>
    </x:row>
    <x:row r="11">
      <x:c r="A11" t="str">
        <x:v>Non-critical defect records</x:v>
      </x:c>
      <x:c r="B11" s="22" t="n">
        <x:v>54</x:v>
      </x:c>
      <x:c r="C11" t="str">
        <x:v>Priority = Non Critical</x:v>
      </x:c>
    </x:row>
    <x:row r="12">
      <x:c r="A12" t="str">
        <x:v>Records without priority classification</x:v>
      </x:c>
      <x:c r="B12" s="22" t="n">
        <x:v>8</x:v>
      </x:c>
      <x:c r="C12" t="str">
        <x:v>Blank/missing Priority</x:v>
      </x:c>
    </x:row>
    <x:row r="13">
      <x:c r="A13" t="str">
        <x:v>Total PO Amt (USD), audit only</x:v>
      </x:c>
      <x:c r="B13" s="22" t="n">
        <x:v>95118.68000000001</x:v>
      </x:c>
      <x:c r="C13" t="str">
        <x:v>Not used as direct comparison because Passenger defect data is unavailable</x:v>
      </x:c>
    </x:row>
    <x:row r="14">
      <x:c r="A14" t="str">
        <x:v>Defects by failure year 2022</x:v>
      </x:c>
      <x:c r="B14" s="22" t="n">
        <x:v>1</x:v>
      </x:c>
      <x:c r="C14" t="str">
        <x:v>Audit of Date of Failure</x:v>
      </x:c>
    </x:row>
    <x:row r="15">
      <x:c r="A15" t="str">
        <x:v>Defects by failure year 2024</x:v>
      </x:c>
      <x:c r="B15" s="22" t="n">
        <x:v>48</x:v>
      </x:c>
      <x:c r="C15" t="str">
        <x:v>Audit of Date of Failure</x:v>
      </x:c>
    </x:row>
    <x:row r="16">
      <x:c r="A16" t="str">
        <x:v>Defects by failure year 2025</x:v>
      </x:c>
      <x:c r="B16" s="22" t="n">
        <x:v>50</x:v>
      </x:c>
      <x:c r="C16" t="str">
        <x:v>Audit of Date of Failure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5278cf065fb47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0" t="str">
        <x:v>Monte Carlo Inputs and Reported Output Summary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Parameter</x:v>
      </x:c>
      <x:c r="B3" s="15" t="str">
        <x:v>Value</x:v>
      </x:c>
      <x:c r="C3" s="15" t="str">
        <x:v>Comment</x:v>
      </x:c>
    </x:row>
    <x:row r="4">
      <x:c r="A4" t="str">
        <x:v>Simulation runs</x:v>
      </x:c>
      <x:c r="B4" s="22" t="n">
        <x:v>10000</x:v>
      </x:c>
      <x:c r="C4" t="str">
        <x:v>Reported thesis simulation setting</x:v>
      </x:c>
    </x:row>
    <x:row r="5">
      <x:c r="A5" t="str">
        <x:v>Random seed</x:v>
      </x:c>
      <x:c r="B5" s="22" t="n">
        <x:v>42</x:v>
      </x:c>
      <x:c r="C5" t="str">
        <x:v>Reported thesis simulation setting</x:v>
      </x:c>
    </x:row>
    <x:row r="6">
      <x:c r="A6" t="str">
        <x:v>Passenger ordinary PO event count lambda</x:v>
      </x:c>
      <x:c r="B6" s="22" t="n">
        <x:v>50</x:v>
      </x:c>
      <x:c r="C6" t="str">
        <x:v>Poisson lambda for ordinary PO events</x:v>
      </x:c>
    </x:row>
    <x:row r="7">
      <x:c r="A7" t="str">
        <x:v>Heavy Lift ordinary PO event count lambda</x:v>
      </x:c>
      <x:c r="B7" s="22" t="n">
        <x:v>69</x:v>
      </x:c>
      <x:c r="C7" t="str">
        <x:v>Poisson lambda for ordinary PO events</x:v>
      </x:c>
    </x:row>
    <x:row r="8">
      <x:c r="A8" t="str">
        <x:v>Passenger recurring agreement total, USD</x:v>
      </x:c>
      <x:c r="B8" s="22" t="n">
        <x:v>1418280.75</x:v>
      </x:c>
      <x:c r="C8" t="str">
        <x:v>Recurring + long-lead agreement exposure retained as observed</x:v>
      </x:c>
    </x:row>
    <x:row r="9">
      <x:c r="A9" t="str">
        <x:v>Heavy Lift recurring agreement total, USD</x:v>
      </x:c>
      <x:c r="B9" s="22" t="n">
        <x:v>0</x:v>
      </x:c>
      <x:c r="C9" t="str">
        <x:v>No comparable recurring LTSA-related entries</x:v>
      </x:c>
    </x:row>
    <x:row r="12">
      <x:c r="A12" s="15" t="str">
        <x:v>Monte Carlo output</x:v>
      </x:c>
      <x:c r="B12" s="15" t="str">
        <x:v>Passenger Vessel, LTSA</x:v>
      </x:c>
      <x:c r="C12" s="15" t="str">
        <x:v>Heavy Lift Vessel, non-LTSA</x:v>
      </x:c>
    </x:row>
    <x:row r="13">
      <x:c r="A13" t="str">
        <x:v>Mean simulated exposure, USD</x:v>
      </x:c>
      <x:c r="B13" s="24" t="n">
        <x:v>2169870.79</x:v>
      </x:c>
      <x:c r="C13" s="24" t="n">
        <x:v>454327.73</x:v>
      </x:c>
    </x:row>
    <x:row r="14">
      <x:c r="A14" t="str">
        <x:v>Median simulated exposure, USD</x:v>
      </x:c>
      <x:c r="B14" s="24" t="n">
        <x:v>2151475.36</x:v>
      </x:c>
      <x:c r="C14" s="24" t="n">
        <x:v>449822.85</x:v>
      </x:c>
    </x:row>
    <x:row r="15">
      <x:c r="A15" t="str">
        <x:v>Standard deviation, USD</x:v>
      </x:c>
      <x:c r="B15" s="24" t="n">
        <x:v>207780.37</x:v>
      </x:c>
      <x:c r="C15" s="24" t="n">
        <x:v>92630.63</x:v>
      </x:c>
    </x:row>
    <x:row r="16">
      <x:c r="A16" t="str">
        <x:v>5th percentile, USD</x:v>
      </x:c>
      <x:c r="B16" s="24" t="n">
        <x:v>1857507.98</x:v>
      </x:c>
      <x:c r="C16" s="24" t="n">
        <x:v>310961.59</x:v>
      </x:c>
    </x:row>
    <x:row r="17">
      <x:c r="A17" t="str">
        <x:v>95th percentile, USD</x:v>
      </x:c>
      <x:c r="B17" s="24" t="n">
        <x:v>2537313.49</x:v>
      </x:c>
      <x:c r="C17" s="24" t="n">
        <x:v>616492.15</x:v>
      </x:c>
    </x:row>
    <x:row r="20">
      <x:c r="A20" s="15" t="str">
        <x:v>Paired Monte Carlo difference metric</x:v>
      </x:c>
      <x:c r="B20" s="15" t="str">
        <x:v>Result</x:v>
      </x:c>
    </x:row>
    <x:row r="21">
      <x:c r="A21" t="str">
        <x:v>Mean Passenger Vessel minus Heavy Lift Vessel exposure, USD</x:v>
      </x:c>
      <x:c r="B21" s="24" t="n">
        <x:v>1715543.07</x:v>
      </x:c>
    </x:row>
    <x:row r="22">
      <x:c r="A22" t="str">
        <x:v>5th percentile difference, USD</x:v>
      </x:c>
      <x:c r="B22" s="24" t="n">
        <x:v>1371638.8</x:v>
      </x:c>
    </x:row>
    <x:row r="23">
      <x:c r="A23" t="str">
        <x:v>95th percentile difference, USD</x:v>
      </x:c>
      <x:c r="B23" s="24" t="n">
        <x:v>2109030.81</x:v>
      </x:c>
    </x:row>
    <x:row r="24">
      <x:c r="A24" t="str">
        <x:v>Probability that Passenger Vessel exposure is higher</x:v>
      </x:c>
      <x:c r="B24" s="20" t="n">
        <x:v>1</x:v>
      </x:c>
    </x:row>
    <x:row r="25">
      <x:c r="A25" t="str">
        <x:v>Probability that Heavy Lift Vessel exposure is higher</x:v>
      </x:c>
      <x:c r="B25" s="20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2" hidden="0" customWidth="1"/>
    <x:col min="4" max="4" width="78" hidden="0" customWidth="1"/>
  </x:cols>
  <x:sheetData>
    <x:row r="1">
      <x:c r="A1" s="30" t="str">
        <x:v>Sensitivity and Break-Even Checks</x:v>
      </x:c>
      <x:c r="B1" s="30"/>
      <x:c r="C1" s="30"/>
      <x:c r="D1" s="30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Sensitivity test</x:v>
      </x:c>
      <x:c r="B3" s="15" t="str">
        <x:v>Formula result</x:v>
      </x:c>
      <x:c r="C3" s="15" t="str">
        <x:v>Rounded thesis result</x:v>
      </x:c>
      <x:c r="D3" s="15" t="str">
        <x:v>Interpretation</x:v>
      </x:c>
    </x:row>
    <x:row r="4">
      <x:c r="A4" t="str">
        <x:v>Heavy Lift Vessel purchase-order break-even factor</x:v>
      </x:c>
      <x:c r="B4" s="26" t="n">
        <x:f>PO_Summary!B14/PO_Summary!C14</x:f>
        <x:v>4.779902540212544</x:v>
      </x:c>
      <x:c r="C4" s="26" t="n">
        <x:v>4.78</x:v>
      </x:c>
      <x:c r="D4" t="str">
        <x:v>Heavy Lift purchase-order exposure would need to increase by approximately 378% to equal Passenger Vessel exposure</x:v>
      </x:c>
    </x:row>
    <x:row r="5">
      <x:c r="A5" t="str">
        <x:v>Passenger Vessel purchase-order reduction factor</x:v>
      </x:c>
      <x:c r="B5" s="26" t="n">
        <x:f>PO_Summary!C14/PO_Summary!B14</x:f>
        <x:v>0.2092092865047273</x:v>
      </x:c>
      <x:c r="C5" s="26" t="n">
        <x:v>0.21</x:v>
      </x:c>
      <x:c r="D5" t="str">
        <x:v>Passenger Vessel exposure would need to fall to about 20.9% of its corrected observed value</x:v>
      </x:c>
    </x:row>
    <x:row r="6">
      <x:c r="A6" t="str">
        <x:v>Spare-parts stock-value break-even factor</x:v>
      </x:c>
      <x:c r="B6" s="26" t="n">
        <x:f>(PO_Summary!B14-PO_Summary!C14)/(SpareParts_Summary!C7-SpareParts_Summary!B7)</x:f>
        <x:v>7.260840316258141</x:v>
      </x:c>
      <x:c r="C6" s="26" t="n">
        <x:v>7.26</x:v>
      </x:c>
      <x:c r="D6" t="str">
        <x:v>Spare-parts stock exposure must be weighted heavily before overturning the corrected PO exposure difference</x:v>
      </x:c>
    </x:row>
    <x:row r="7">
      <x:c r="A7" t="str">
        <x:v>Recorded downtime sensitivity</x:v>
      </x:c>
      <x:c r="B7" t="str">
        <x:v>Inconclusive</x:v>
      </x:c>
      <x:c r="C7" t="str">
        <x:v>Inconclusive</x:v>
      </x:c>
      <x:c r="D7" t="str">
        <x:v>Both cases have zero positive recorded downtime hours in the selected job-history records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8e0302e5009468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  <x:col min="3" max="3" width="28" hidden="0" customWidth="1"/>
    <x:col min="4" max="4" width="16" hidden="0" customWidth="1"/>
    <x:col min="5" max="5" width="12" hidden="0" customWidth="1"/>
    <x:col min="6" max="6" width="55" hidden="0" customWidth="1"/>
  </x:cols>
  <x:sheetData>
    <x:row r="1">
      <x:c r="A1" s="30" t="str">
        <x:v>Thesis Output Checks: Reported Values vs Workbook Calculations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3">
      <x:c r="A3" s="15" t="str">
        <x:v>Metric</x:v>
      </x:c>
      <x:c r="B3" s="15" t="str">
        <x:v>Reported_Thesis_Value</x:v>
      </x:c>
      <x:c r="C3" s="15" t="str">
        <x:v>Workbook_Recalculated_Value</x:v>
      </x:c>
      <x:c r="D3" s="15" t="str">
        <x:v>Difference</x:v>
      </x:c>
      <x:c r="E3" s="15" t="str">
        <x:v>Status</x:v>
      </x:c>
      <x:c r="F3" s="15" t="str">
        <x:v>Notes</x:v>
      </x:c>
    </x:row>
    <x:row r="4">
      <x:c r="A4" t="str">
        <x:v>Passenger job-history records</x:v>
      </x:c>
      <x:c r="B4" s="22" t="n">
        <x:v>2691</x:v>
      </x:c>
      <x:c r="C4" s="22" t="n">
        <x:f>Job_History!B4</x:f>
        <x:v>2691</x:v>
      </x:c>
      <x:c r="D4" s="22" t="n">
        <x:f>C4-B4</x:f>
        <x:v>0</x:v>
      </x:c>
      <x:c r="E4" t="str">
        <x:f>IF(ABS(D4)&lt;0.01,"OK","CHECK")</x:f>
        <x:v>OK</x:v>
      </x:c>
      <x:c r="F4" t="str"/>
    </x:row>
    <x:row r="5">
      <x:c r="A5" t="str">
        <x:v>Heavy Lift job-history records</x:v>
      </x:c>
      <x:c r="B5" s="22" t="n">
        <x:v>1062</x:v>
      </x:c>
      <x:c r="C5" s="22" t="n">
        <x:f>Job_History!C4</x:f>
        <x:v>1062</x:v>
      </x:c>
      <x:c r="D5" s="22" t="n">
        <x:f>C5-B5</x:f>
        <x:v>0</x:v>
      </x:c>
      <x:c r="E5" t="str">
        <x:f>IF(ABS(D5)&lt;0.01,"OK","CHECK")</x:f>
        <x:v>OK</x:v>
      </x:c>
      <x:c r="F5" t="str"/>
    </x:row>
    <x:row r="6">
      <x:c r="A6" t="str">
        <x:v>Passenger corrective job share</x:v>
      </x:c>
      <x:c r="B6" s="20" t="n">
        <x:v>0.021924934968413228</x:v>
      </x:c>
      <x:c r="C6" s="20" t="n">
        <x:f>Job_History!B7</x:f>
        <x:v>0.021924934968413228</x:v>
      </x:c>
      <x:c r="D6" s="20" t="n">
        <x:f>C6-B6</x:f>
        <x:v>0</x:v>
      </x:c>
      <x:c r="E6" t="str">
        <x:f>IF(ABS(D6)&lt;0.01,"OK","CHECK")</x:f>
        <x:v>OK</x:v>
      </x:c>
      <x:c r="F6" t="str">
        <x:v>2.19% when rounded</x:v>
      </x:c>
    </x:row>
    <x:row r="7">
      <x:c r="A7" t="str">
        <x:v>Heavy Lift corrective job share</x:v>
      </x:c>
      <x:c r="B7" s="20" t="n">
        <x:v>0.0009416195856873823</x:v>
      </x:c>
      <x:c r="C7" s="20" t="n">
        <x:f>Job_History!C7</x:f>
        <x:v>0.0009416195856873823</x:v>
      </x:c>
      <x:c r="D7" s="20" t="n">
        <x:f>C7-B7</x:f>
        <x:v>0</x:v>
      </x:c>
      <x:c r="E7" t="str">
        <x:f>IF(ABS(D7)&lt;0.01,"OK","CHECK")</x:f>
        <x:v>OK</x:v>
      </x:c>
      <x:c r="F7" t="str">
        <x:v>0.09% when rounded</x:v>
      </x:c>
    </x:row>
    <x:row r="8">
      <x:c r="A8" t="str">
        <x:v>Passenger overdue job share</x:v>
      </x:c>
      <x:c r="B8" s="20" t="n">
        <x:v>0.2445187662578967</x:v>
      </x:c>
      <x:c r="C8" s="20" t="n">
        <x:f>Job_History!B9</x:f>
        <x:v>0.2445187662578967</x:v>
      </x:c>
      <x:c r="D8" s="20" t="n">
        <x:f>C8-B8</x:f>
        <x:v>0</x:v>
      </x:c>
      <x:c r="E8" t="str">
        <x:f>IF(ABS(D8)&lt;0.01,"OK","CHECK")</x:f>
        <x:v>OK</x:v>
      </x:c>
      <x:c r="F8" t="str">
        <x:v>24.45% when rounded</x:v>
      </x:c>
    </x:row>
    <x:row r="9">
      <x:c r="A9" t="str">
        <x:v>Heavy Lift overdue job share</x:v>
      </x:c>
      <x:c r="B9" s="20" t="n">
        <x:v>0.09887005649717515</x:v>
      </x:c>
      <x:c r="C9" s="20" t="n">
        <x:f>Job_History!C9</x:f>
        <x:v>0.09887005649717515</x:v>
      </x:c>
      <x:c r="D9" s="20" t="n">
        <x:f>C9-B9</x:f>
        <x:v>0</x:v>
      </x:c>
      <x:c r="E9" t="str">
        <x:f>IF(ABS(D9)&lt;0.01,"OK","CHECK")</x:f>
        <x:v>OK</x:v>
      </x:c>
      <x:c r="F9" t="str">
        <x:v>9.89% when rounded</x:v>
      </x:c>
    </x:row>
    <x:row r="10">
      <x:c r="A10" t="str">
        <x:v>Passenger corrected PO exposure, USD</x:v>
      </x:c>
      <x:c r="B10" s="22" t="n">
        <x:v>2174227.72</x:v>
      </x:c>
      <x:c r="C10" s="22" t="n">
        <x:f>PO_Summary!B14</x:f>
        <x:v>2174227.72</x:v>
      </x:c>
      <x:c r="D10" s="22" t="n">
        <x:f>C10-B10</x:f>
        <x:v>0</x:v>
      </x:c>
      <x:c r="E10" t="str">
        <x:f>IF(ABS(D10)&lt;0.01,"OK","CHECK")</x:f>
        <x:v>OK</x:v>
      </x:c>
      <x:c r="F10" t="str"/>
    </x:row>
    <x:row r="11">
      <x:c r="A11" t="str">
        <x:v>Heavy Lift corrected PO exposure, USD</x:v>
      </x:c>
      <x:c r="B11" s="22" t="n">
        <x:v>454868.63</x:v>
      </x:c>
      <x:c r="C11" s="22" t="n">
        <x:f>PO_Summary!C14</x:f>
        <x:v>454868.63000000006</x:v>
      </x:c>
      <x:c r="D11" s="22" t="n">
        <x:f>C11-B11</x:f>
        <x:v>5.820766091346741e-11</x:v>
      </x:c>
      <x:c r="E11" t="str">
        <x:f>IF(ABS(D11)&lt;0.01,"OK","CHECK")</x:f>
        <x:v>OK</x:v>
      </x:c>
      <x:c r="F11" t="str"/>
    </x:row>
    <x:row r="12">
      <x:c r="A12" t="str">
        <x:v>Procurement exposure ratio</x:v>
      </x:c>
      <x:c r="B12" s="26" t="n">
        <x:v>4.779913908116996</x:v>
      </x:c>
      <x:c r="C12" s="26" t="n">
        <x:f>PO_Summary!B19</x:f>
        <x:v>4.779902540212544</x:v>
      </x:c>
      <x:c r="D12" s="26" t="n">
        <x:f>C12-B12</x:f>
        <x:v>-0.000011367904452441735</x:v>
      </x:c>
      <x:c r="E12" t="str">
        <x:f>IF(ABS(D12)&lt;0.01,"OK","CHECK")</x:f>
        <x:v>OK</x:v>
      </x:c>
      <x:c r="F12" t="str">
        <x:v>4.78 when rounded</x:v>
      </x:c>
    </x:row>
    <x:row r="13">
      <x:c r="A13" t="str">
        <x:v>Passenger spare-parts stock value, USD</x:v>
      </x:c>
      <x:c r="B13" s="26" t="n">
        <x:v>7804.8665</x:v>
      </x:c>
      <x:c r="C13" s="26" t="n">
        <x:f>SpareParts_Summary!B7</x:f>
        <x:v>7804.8665</x:v>
      </x:c>
      <x:c r="D13" s="26" t="n">
        <x:f>C13-B13</x:f>
        <x:v>0</x:v>
      </x:c>
      <x:c r="E13" t="str">
        <x:f>IF(ABS(D13)&lt;0.01,"OK","CHECK")</x:f>
        <x:v>OK</x:v>
      </x:c>
      <x:c r="F13" t="str">
        <x:v>7,804.87 when rounded</x:v>
      </x:c>
    </x:row>
    <x:row r="14">
      <x:c r="A14" t="str">
        <x:v>Heavy Lift spare-parts stock value, USD</x:v>
      </x:c>
      <x:c r="B14" s="26" t="n">
        <x:v>244603.7789</x:v>
      </x:c>
      <x:c r="C14" s="26" t="n">
        <x:f>SpareParts_Summary!C7</x:f>
        <x:v>244603.77890000003</x:v>
      </x:c>
      <x:c r="D14" s="26" t="n">
        <x:f>C14-B14</x:f>
        <x:v>2.9103830456733704e-11</x:v>
      </x:c>
      <x:c r="E14" t="str">
        <x:f>IF(ABS(D14)&lt;0.01,"OK","CHECK")</x:f>
        <x:v>OK</x:v>
      </x:c>
      <x:c r="F14" t="str">
        <x:v>244,603.78 when rounded</x:v>
      </x:c>
    </x:row>
    <x:row r="15">
      <x:c r="A15" t="str">
        <x:v>Spare-parts stock-value ratio</x:v>
      </x:c>
      <x:c r="B15" s="26" t="n">
        <x:v>31.34096827436347</x:v>
      </x:c>
      <x:c r="C15" s="26" t="n">
        <x:f>SpareParts_Summary!B9</x:f>
        <x:v>31.33990554482899</x:v>
      </x:c>
      <x:c r="D15" s="26" t="n">
        <x:f>C15-B15</x:f>
        <x:v>-0.0010627295344782794</x:v>
      </x:c>
      <x:c r="E15" t="str">
        <x:f>IF(ABS(D15)&lt;0.01,"OK","CHECK")</x:f>
        <x:v>OK</x:v>
      </x:c>
      <x:c r="F15" t="str">
        <x:v>31.34 when rounded</x:v>
      </x:c>
    </x:row>
    <x:row r="16">
      <x:c r="A16" t="str">
        <x:v>Heavy Lift defect records</x:v>
      </x:c>
      <x:c r="B16" s="22" t="n">
        <x:v>99</x:v>
      </x:c>
      <x:c r="C16" s="22" t="n">
        <x:f>Defects_Summary!B4</x:f>
        <x:v>99</x:v>
      </x:c>
      <x:c r="D16" s="22" t="n">
        <x:f>C16-B16</x:f>
        <x:v>0</x:v>
      </x:c>
      <x:c r="E16" t="str">
        <x:f>IF(ABS(D16)&lt;0.01,"OK","CHECK")</x:f>
        <x:v>OK</x:v>
      </x:c>
      <x:c r="F16" t="str"/>
    </x:row>
    <x:row r="17">
      <x:c r="A17" t="str">
        <x:v>Availability proxy Passenger</x:v>
      </x:c>
      <x:c r="B17" s="20" t="n">
        <x:v>1</x:v>
      </x:c>
      <x:c r="C17" s="20" t="n">
        <x:f>Job_History!B12</x:f>
        <x:v>1</x:v>
      </x:c>
      <x:c r="D17" s="20" t="n">
        <x:f>C17-B17</x:f>
        <x:v>0</x:v>
      </x:c>
      <x:c r="E17" t="str">
        <x:f>IF(ABS(D17)&lt;0.01,"OK","CHECK")</x:f>
        <x:v>OK</x:v>
      </x:c>
      <x:c r="F17" t="str">
        <x:v>100.00%</x:v>
      </x:c>
    </x:row>
    <x:row r="18">
      <x:c r="A18" t="str">
        <x:v>Availability proxy Heavy Lift</x:v>
      </x:c>
      <x:c r="B18" s="20" t="n">
        <x:v>1</x:v>
      </x:c>
      <x:c r="C18" s="20" t="n">
        <x:f>Job_History!C12</x:f>
        <x:v>1</x:v>
      </x:c>
      <x:c r="D18" s="20" t="n">
        <x:f>C18-B18</x:f>
        <x:v>0</x:v>
      </x:c>
      <x:c r="E18" t="str">
        <x:f>IF(ABS(D18)&lt;0.01,"OK","CHECK")</x:f>
        <x:v>OK</x:v>
      </x:c>
      <x:c r="F18" t="str">
        <x:v>100.00%</x:v>
      </x:c>
    </x:row>
    <x:row r="19">
      <x:c r="A19" t="str">
        <x:v>Passenger MC mean exposure, USD</x:v>
      </x:c>
      <x:c r="B19" s="22" t="n">
        <x:v>2169870.79</x:v>
      </x:c>
      <x:c r="C19" s="22" t="n">
        <x:f>MonteCarlo_Summary!B13</x:f>
        <x:v>2169870.79</x:v>
      </x:c>
      <x:c r="D19" s="22" t="n">
        <x:f>C19-B19</x:f>
        <x:v>0</x:v>
      </x:c>
      <x:c r="E19" t="str">
        <x:f>IF(ABS(D19)&lt;0.01,"OK","CHECK")</x:f>
        <x:v>OK</x:v>
      </x:c>
      <x:c r="F19" t="str">
        <x:v>Reported thesis Monte Carlo output</x:v>
      </x:c>
    </x:row>
    <x:row r="20">
      <x:c r="A20" t="str">
        <x:v>Heavy Lift MC mean exposure, USD</x:v>
      </x:c>
      <x:c r="B20" s="22" t="n">
        <x:v>454327.73</x:v>
      </x:c>
      <x:c r="C20" s="22" t="n">
        <x:f>MonteCarlo_Summary!C13</x:f>
        <x:v>454327.73</x:v>
      </x:c>
      <x:c r="D20" s="22" t="n">
        <x:f>C20-B20</x:f>
        <x:v>0</x:v>
      </x:c>
      <x:c r="E20" t="str">
        <x:f>IF(ABS(D20)&lt;0.01,"OK","CHECK")</x:f>
        <x:v>OK</x:v>
      </x:c>
      <x:c r="F20" t="str">
        <x:v>Reported thesis Monte Carlo output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19bdf89fb77475a"/>
  </x:tableParts>
</x:worksheet>
</file>